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urtis/"/>
    </mc:Choice>
  </mc:AlternateContent>
  <xr:revisionPtr revIDLastSave="0" documentId="8_{9DDB2F1F-6334-4040-A275-9AD5E6E77D83}" xr6:coauthVersionLast="47" xr6:coauthVersionMax="47" xr10:uidLastSave="{00000000-0000-0000-0000-000000000000}"/>
  <bookViews>
    <workbookView xWindow="10280" yWindow="740" windowWidth="19120" windowHeight="18380" activeTab="6" xr2:uid="{00000000-000D-0000-FFFF-FFFF00000000}"/>
  </bookViews>
  <sheets>
    <sheet name="DashBoard" sheetId="5" r:id="rId1"/>
    <sheet name="Expenses&amp;Incomes" sheetId="1" r:id="rId2"/>
    <sheet name="Sheet1" sheetId="6" state="hidden" r:id="rId3"/>
    <sheet name="Goals" sheetId="4" r:id="rId4"/>
    <sheet name="Output" sheetId="2" r:id="rId5"/>
    <sheet name="Financial Advice" sheetId="3" r:id="rId6"/>
    <sheet name="Stock watchlsit " sheetId="13" r:id="rId7"/>
  </sheets>
  <definedNames>
    <definedName name="ExternalData_1" localSheetId="6" hidden="1">'Stock watchlsit '!$A$1:$L$26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3" i="5" l="1"/>
  <c r="C43" i="5"/>
  <c r="A43" i="5"/>
  <c r="S3" i="5"/>
  <c r="S2" i="5"/>
  <c r="L3" i="1"/>
  <c r="L4" i="1"/>
  <c r="L5" i="1"/>
  <c r="L6" i="1"/>
  <c r="L7" i="1"/>
  <c r="L8" i="1"/>
  <c r="L11" i="1"/>
  <c r="L13" i="1"/>
  <c r="L12" i="1"/>
  <c r="L10" i="1"/>
  <c r="L9" i="1"/>
  <c r="M9" i="1" s="1"/>
  <c r="P17" i="1" a="1"/>
  <c r="P17" i="1" s="1"/>
  <c r="O7" i="1" s="1"/>
  <c r="P12" i="1" a="1"/>
  <c r="P12" i="1" s="1"/>
  <c r="M6" i="1" l="1"/>
  <c r="M7" i="1"/>
  <c r="M5" i="1"/>
  <c r="M3" i="1"/>
  <c r="M4" i="1"/>
  <c r="M8" i="1"/>
  <c r="M10" i="1"/>
  <c r="M11" i="1"/>
  <c r="M12" i="1"/>
  <c r="M13" i="1"/>
  <c r="P18" i="1"/>
  <c r="T5" i="2"/>
  <c r="L2" i="2"/>
  <c r="K2" i="2"/>
  <c r="O2" i="1"/>
  <c r="P2" i="1"/>
  <c r="P13" i="1"/>
  <c r="L2" i="1"/>
  <c r="M2" i="1" l="1"/>
  <c r="H2" i="4"/>
  <c r="S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39FB28-5C15-400C-821E-C9A10F7E1188}" keepAlive="1" name="Query - Document" description="Connection to the 'Document' query in the workbook." type="5" refreshedVersion="0" background="1">
    <dbPr connection="Provider=Microsoft.Mashup.OleDb.1;Data Source=$Workbook$;Location=Document;Extended Properties=&quot;&quot;" command="SELECT * FROM [Document]"/>
  </connection>
  <connection id="2" xr16:uid="{FE9C3BFB-898F-4E96-A863-90BCF3EB984C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<sst xmlns="http://schemas.openxmlformats.org/spreadsheetml/2006/main" count="359" uniqueCount="201">
  <si>
    <t>Date</t>
  </si>
  <si>
    <t>Item</t>
  </si>
  <si>
    <t>Category</t>
  </si>
  <si>
    <t>Description</t>
  </si>
  <si>
    <t>Start Date</t>
  </si>
  <si>
    <t>End Date</t>
  </si>
  <si>
    <t>Financial Advice</t>
  </si>
  <si>
    <t>Bills</t>
  </si>
  <si>
    <t>Spending</t>
  </si>
  <si>
    <t>Amount</t>
  </si>
  <si>
    <t>Entertainment</t>
  </si>
  <si>
    <t>Selection</t>
  </si>
  <si>
    <t>Income</t>
  </si>
  <si>
    <t>Other</t>
  </si>
  <si>
    <t>Percentage</t>
  </si>
  <si>
    <t>Total</t>
  </si>
  <si>
    <t>Amount Spent</t>
  </si>
  <si>
    <t>Money</t>
  </si>
  <si>
    <t>Candy</t>
  </si>
  <si>
    <t>I wanted to eat some candy</t>
  </si>
  <si>
    <t>Month Goal</t>
  </si>
  <si>
    <t>Year Goal</t>
  </si>
  <si>
    <t>Current Saving</t>
  </si>
  <si>
    <t>Total for graph</t>
  </si>
  <si>
    <t>Total for Everything</t>
  </si>
  <si>
    <t>Shopping</t>
  </si>
  <si>
    <t>Subscription</t>
  </si>
  <si>
    <t>Insurance</t>
  </si>
  <si>
    <t>Supplements</t>
  </si>
  <si>
    <t>Car Payments</t>
  </si>
  <si>
    <t>Drinks</t>
  </si>
  <si>
    <t>Food</t>
  </si>
  <si>
    <t>Online Shopping</t>
  </si>
  <si>
    <t>Growth</t>
  </si>
  <si>
    <t>Total Savings</t>
  </si>
  <si>
    <t xml:space="preserve"> </t>
  </si>
  <si>
    <t>Name</t>
  </si>
  <si>
    <t/>
  </si>
  <si>
    <t>Symbol</t>
  </si>
  <si>
    <t>Price (Intraday)</t>
  </si>
  <si>
    <t>Change</t>
  </si>
  <si>
    <t>% Change</t>
  </si>
  <si>
    <t>Market Cap</t>
  </si>
  <si>
    <t>Volume in Currency (Since 0:00 UTC)</t>
  </si>
  <si>
    <t>Volume in Currency (24Hr)</t>
  </si>
  <si>
    <t>Total Volume All Currencies (24Hr)</t>
  </si>
  <si>
    <t>Circulating Supply</t>
  </si>
  <si>
    <t>52 Week Range</t>
  </si>
  <si>
    <t>Day Chart</t>
  </si>
  <si>
    <t>BTC-CAD</t>
  </si>
  <si>
    <t>Bitcoin CAD</t>
  </si>
  <si>
    <t>ETH-CAD</t>
  </si>
  <si>
    <t>Ethereum CAD</t>
  </si>
  <si>
    <t>USDT-CAD</t>
  </si>
  <si>
    <t>Tether USDt CAD</t>
  </si>
  <si>
    <t>SOL-CAD</t>
  </si>
  <si>
    <t>Solana CAD</t>
  </si>
  <si>
    <t>BNB-CAD</t>
  </si>
  <si>
    <t>BNB CAD</t>
  </si>
  <si>
    <t>144.01M</t>
  </si>
  <si>
    <t>XRP-CAD</t>
  </si>
  <si>
    <t>XRP CAD</t>
  </si>
  <si>
    <t>DOGE-CAD</t>
  </si>
  <si>
    <t>Dogecoin CAD</t>
  </si>
  <si>
    <t>USDC-CAD</t>
  </si>
  <si>
    <t>USD Coin CAD</t>
  </si>
  <si>
    <t>ADA-CAD</t>
  </si>
  <si>
    <t>Cardano CAD</t>
  </si>
  <si>
    <t>35.074B</t>
  </si>
  <si>
    <t>AVAX-CAD</t>
  </si>
  <si>
    <t>Avalanche CAD</t>
  </si>
  <si>
    <t>TRX-CAD</t>
  </si>
  <si>
    <t>TRON CAD</t>
  </si>
  <si>
    <t>XLM-CAD</t>
  </si>
  <si>
    <t>Stellar CAD</t>
  </si>
  <si>
    <t>SHIB-CAD</t>
  </si>
  <si>
    <t>Shiba Inu CAD</t>
  </si>
  <si>
    <t>589.26T</t>
  </si>
  <si>
    <t>DOT-CAD</t>
  </si>
  <si>
    <t>Polkadot CAD</t>
  </si>
  <si>
    <t>LINK-CAD</t>
  </si>
  <si>
    <t>Chainlink CAD</t>
  </si>
  <si>
    <t>626.85M</t>
  </si>
  <si>
    <t>BCH-CAD</t>
  </si>
  <si>
    <t>Bitcoin Cash CAD</t>
  </si>
  <si>
    <t>UNI7083-CAD</t>
  </si>
  <si>
    <t>Uniswap CAD</t>
  </si>
  <si>
    <t>600.425M</t>
  </si>
  <si>
    <t>LTC-CAD</t>
  </si>
  <si>
    <t>Litecoin CAD</t>
  </si>
  <si>
    <t>HBAR-CAD</t>
  </si>
  <si>
    <t>Hedera CAD</t>
  </si>
  <si>
    <t>38.199B</t>
  </si>
  <si>
    <t>ICP-CAD</t>
  </si>
  <si>
    <t>Internet Computer CAD</t>
  </si>
  <si>
    <t>DAI-CAD</t>
  </si>
  <si>
    <t>Dai CAD</t>
  </si>
  <si>
    <t>5.365B</t>
  </si>
  <si>
    <t>CRO-CAD</t>
  </si>
  <si>
    <t>Cronos CAD</t>
  </si>
  <si>
    <t>26.572B</t>
  </si>
  <si>
    <t>ETC-CAD</t>
  </si>
  <si>
    <t>Ethereum Classic CAD</t>
  </si>
  <si>
    <t>FET-CAD</t>
  </si>
  <si>
    <t>Artificial Superintelligence Alliance CAD</t>
  </si>
  <si>
    <t>2.435B</t>
  </si>
  <si>
    <t>Grocery Shopping</t>
  </si>
  <si>
    <t>Gym Membership</t>
  </si>
  <si>
    <t>Dinner</t>
  </si>
  <si>
    <t>Movie Tickets</t>
  </si>
  <si>
    <t>Gas for Car</t>
  </si>
  <si>
    <t>Coffee</t>
  </si>
  <si>
    <t>Online Course</t>
  </si>
  <si>
    <t>Laundry Service</t>
  </si>
  <si>
    <t xml:space="preserve">Just got food </t>
  </si>
  <si>
    <t>went to the gym</t>
  </si>
  <si>
    <t>eat out</t>
  </si>
  <si>
    <t>went to movies</t>
  </si>
  <si>
    <t>gas for car</t>
  </si>
  <si>
    <t>coffee</t>
  </si>
  <si>
    <t>education</t>
  </si>
  <si>
    <t>bought some air refreshner</t>
  </si>
  <si>
    <t>Rent</t>
  </si>
  <si>
    <t>Netflix Sub</t>
  </si>
  <si>
    <t>Watching netflex</t>
  </si>
  <si>
    <t>Paid for the house</t>
  </si>
  <si>
    <t xml:space="preserve">Income </t>
  </si>
  <si>
    <t>got paid for the job</t>
  </si>
  <si>
    <t>Life insurance monthly pay</t>
  </si>
  <si>
    <t>Shop online</t>
  </si>
  <si>
    <t>Supplment gym</t>
  </si>
  <si>
    <t xml:space="preserve">bought pre workout </t>
  </si>
  <si>
    <t>133.205B</t>
  </si>
  <si>
    <t>30.07B</t>
  </si>
  <si>
    <t>FIL-CAD</t>
  </si>
  <si>
    <t>Filecoin CAD</t>
  </si>
  <si>
    <t>19.789M</t>
  </si>
  <si>
    <t>120.436M</t>
  </si>
  <si>
    <t>57.051B</t>
  </si>
  <si>
    <t>409.268M</t>
  </si>
  <si>
    <t>86.319B</t>
  </si>
  <si>
    <t>1.524B</t>
  </si>
  <si>
    <t>19.795M</t>
  </si>
  <si>
    <t>474.785M</t>
  </si>
  <si>
    <t>75.248M</t>
  </si>
  <si>
    <t>7.694B</t>
  </si>
  <si>
    <t>149.736M</t>
  </si>
  <si>
    <t>Percentage Save</t>
  </si>
  <si>
    <t>2.649T</t>
  </si>
  <si>
    <t>71.749B</t>
  </si>
  <si>
    <t>601.349B</t>
  </si>
  <si>
    <t>43.99B</t>
  </si>
  <si>
    <t>186.574B</t>
  </si>
  <si>
    <t>177.988B</t>
  </si>
  <si>
    <t>158.105B</t>
  </si>
  <si>
    <t>5.348B</t>
  </si>
  <si>
    <t>474.902M</t>
  </si>
  <si>
    <t>132.004B</t>
  </si>
  <si>
    <t>3.584B</t>
  </si>
  <si>
    <t>122.197B</t>
  </si>
  <si>
    <t>8.784B</t>
  </si>
  <si>
    <t>82.613B</t>
  </si>
  <si>
    <t>8.036B</t>
  </si>
  <si>
    <t>146.986B</t>
  </si>
  <si>
    <t>55.176B</t>
  </si>
  <si>
    <t>11.241B</t>
  </si>
  <si>
    <t>39.408B</t>
  </si>
  <si>
    <t>51.203B</t>
  </si>
  <si>
    <t>2.194B</t>
  </si>
  <si>
    <t>24.704B</t>
  </si>
  <si>
    <t>972.339M</t>
  </si>
  <si>
    <t>24.485B</t>
  </si>
  <si>
    <t>1.038B</t>
  </si>
  <si>
    <t>20.994B</t>
  </si>
  <si>
    <t>1.129B</t>
  </si>
  <si>
    <t>20.616B</t>
  </si>
  <si>
    <t>2.789B</t>
  </si>
  <si>
    <t>18.429B</t>
  </si>
  <si>
    <t>927.93M</t>
  </si>
  <si>
    <t>15.714B</t>
  </si>
  <si>
    <t>835.988M</t>
  </si>
  <si>
    <t>14.115B</t>
  </si>
  <si>
    <t>790.367M</t>
  </si>
  <si>
    <t>10.721B</t>
  </si>
  <si>
    <t>847.029M</t>
  </si>
  <si>
    <t>10.101B</t>
  </si>
  <si>
    <t>819.545M</t>
  </si>
  <si>
    <t>7.84B</t>
  </si>
  <si>
    <t>578.373M</t>
  </si>
  <si>
    <t>296.613M</t>
  </si>
  <si>
    <t>7.512B</t>
  </si>
  <si>
    <t>171.622M</t>
  </si>
  <si>
    <t>6.629B</t>
  </si>
  <si>
    <t>1.116B</t>
  </si>
  <si>
    <t>6.602B</t>
  </si>
  <si>
    <t>52.264M</t>
  </si>
  <si>
    <t>5.532B</t>
  </si>
  <si>
    <t>1.303B</t>
  </si>
  <si>
    <t>4.894B</t>
  </si>
  <si>
    <t>618.992M</t>
  </si>
  <si>
    <t>604.779M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</si>
</sst>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;[Red]\-&quot;$&quot;#,##0.00"/>
    <numFmt numFmtId="165" formatCode="yyyy\-mm\-dd;@"/>
    <numFmt numFmtId="166" formatCode="&quot;$&quot;#,##0.00"/>
    <numFmt numFmtId="167" formatCode="0.0%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1DB"/>
        <bgColor indexed="64"/>
      </patternFill>
    </fill>
    <fill>
      <patternFill patternType="solid">
        <fgColor rgb="FFD4BDAC"/>
        <bgColor indexed="64"/>
      </patternFill>
    </fill>
    <fill>
      <patternFill patternType="solid">
        <fgColor rgb="FFA9D08E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2">
    <xf numFmtId="0" fontId="0" fillId="0" borderId="0" xfId="0"/>
    <xf numFmtId="166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66" fontId="0" fillId="6" borderId="0" xfId="0" applyNumberFormat="1" applyFill="1"/>
    <xf numFmtId="0" fontId="0" fillId="5" borderId="0" xfId="0" applyFill="1" applyAlignment="1">
      <alignment horizontal="right"/>
    </xf>
    <xf numFmtId="10" fontId="0" fillId="3" borderId="0" xfId="0" applyNumberFormat="1" applyFill="1"/>
    <xf numFmtId="166" fontId="0" fillId="3" borderId="0" xfId="0" applyNumberFormat="1" applyFill="1"/>
    <xf numFmtId="0" fontId="4" fillId="5" borderId="0" xfId="1" applyFont="1" applyFill="1"/>
    <xf numFmtId="0" fontId="4" fillId="5" borderId="1" xfId="1" applyFont="1" applyFill="1" applyBorder="1"/>
    <xf numFmtId="0" fontId="0" fillId="3" borderId="0" xfId="0" applyFill="1" applyAlignment="1">
      <alignment horizontal="left"/>
    </xf>
    <xf numFmtId="0" fontId="4" fillId="6" borderId="0" xfId="0" applyFont="1" applyFill="1"/>
    <xf numFmtId="165" fontId="4" fillId="6" borderId="0" xfId="0" applyNumberFormat="1" applyFont="1" applyFill="1"/>
    <xf numFmtId="14" fontId="0" fillId="0" borderId="0" xfId="0" applyNumberFormat="1"/>
    <xf numFmtId="0" fontId="4" fillId="6" borderId="1" xfId="1" applyFont="1" applyFill="1" applyBorder="1"/>
    <xf numFmtId="165" fontId="0" fillId="6" borderId="0" xfId="0" applyNumberFormat="1" applyFill="1"/>
    <xf numFmtId="166" fontId="4" fillId="6" borderId="0" xfId="0" applyNumberFormat="1" applyFont="1" applyFill="1"/>
    <xf numFmtId="0" fontId="4" fillId="5" borderId="1" xfId="1" applyFont="1" applyFill="1" applyBorder="1" applyAlignment="1">
      <alignment horizontal="right"/>
    </xf>
    <xf numFmtId="10" fontId="0" fillId="6" borderId="0" xfId="0" applyNumberFormat="1" applyFill="1"/>
    <xf numFmtId="14" fontId="0" fillId="6" borderId="0" xfId="0" applyNumberFormat="1" applyFill="1"/>
    <xf numFmtId="14" fontId="1" fillId="0" borderId="0" xfId="0" applyNumberFormat="1" applyFont="1"/>
    <xf numFmtId="14" fontId="0" fillId="6" borderId="0" xfId="0" applyNumberFormat="1" applyFill="1" applyAlignment="1">
      <alignment vertical="center" wrapText="1"/>
    </xf>
    <xf numFmtId="0" fontId="0" fillId="6" borderId="0" xfId="0" applyFill="1" applyAlignment="1">
      <alignment vertical="center" wrapText="1"/>
    </xf>
    <xf numFmtId="164" fontId="0" fillId="6" borderId="0" xfId="0" applyNumberFormat="1" applyFill="1" applyAlignment="1">
      <alignment vertical="center" wrapText="1"/>
    </xf>
    <xf numFmtId="0" fontId="3" fillId="5" borderId="0" xfId="1" applyFont="1" applyFill="1" applyBorder="1"/>
    <xf numFmtId="14" fontId="0" fillId="3" borderId="0" xfId="0" applyNumberFormat="1" applyFill="1" applyAlignment="1">
      <alignment horizontal="left"/>
    </xf>
    <xf numFmtId="167" fontId="0" fillId="6" borderId="0" xfId="0" applyNumberFormat="1" applyFill="1"/>
    <xf numFmtId="10" fontId="1" fillId="0" borderId="0" xfId="0" applyNumberFormat="1" applyFont="1"/>
    <xf numFmtId="166" fontId="0" fillId="5" borderId="0" xfId="0" applyNumberFormat="1" applyFill="1" applyAlignment="1">
      <alignment horizontal="right"/>
    </xf>
    <xf numFmtId="0" fontId="1" fillId="0" borderId="0" xfId="0" applyFont="1"/>
  </cellXfs>
  <cellStyles count="2">
    <cellStyle name="Accent5" xfId="1" builtinId="45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536493"/>
      <color rgb="FFD4BDAC"/>
      <color rgb="FFFFF1DB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pie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6">
                  <a:shade val="41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08E6-4B3E-BA9E-5C1F9448D9FC}"/>
              </c:ext>
            </c:extLst>
          </c:dPt>
          <c:dPt>
            <c:idx val="1"/>
            <c:bubble3D val="0"/>
            <c:spPr>
              <a:solidFill>
                <a:schemeClr val="accent6">
                  <a:shade val="5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08E6-4B3E-BA9E-5C1F9448D9FC}"/>
              </c:ext>
            </c:extLst>
          </c:dPt>
          <c:dPt>
            <c:idx val="2"/>
            <c:bubble3D val="0"/>
            <c:spPr>
              <a:solidFill>
                <a:schemeClr val="accent6">
                  <a:shade val="6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08E6-4B3E-BA9E-5C1F9448D9FC}"/>
              </c:ext>
            </c:extLst>
          </c:dPt>
          <c:dPt>
            <c:idx val="3"/>
            <c:bubble3D val="0"/>
            <c:spPr>
              <a:solidFill>
                <a:schemeClr val="accent6">
                  <a:shade val="76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08E6-4B3E-BA9E-5C1F9448D9FC}"/>
              </c:ext>
            </c:extLst>
          </c:dPt>
          <c:dPt>
            <c:idx val="4"/>
            <c:bubble3D val="0"/>
            <c:spPr>
              <a:solidFill>
                <a:schemeClr val="accent6">
                  <a:shade val="88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08E6-4B3E-BA9E-5C1F9448D9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08E6-4B3E-BA9E-5C1F9448D9FC}"/>
              </c:ext>
            </c:extLst>
          </c:dPt>
          <c:dPt>
            <c:idx val="6"/>
            <c:bubble3D val="0"/>
            <c:spPr>
              <a:solidFill>
                <a:schemeClr val="accent6">
                  <a:tint val="89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08E6-4B3E-BA9E-5C1F9448D9FC}"/>
              </c:ext>
            </c:extLst>
          </c:dPt>
          <c:dPt>
            <c:idx val="7"/>
            <c:bubble3D val="0"/>
            <c:spPr>
              <a:solidFill>
                <a:schemeClr val="accent6">
                  <a:tint val="77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08E6-4B3E-BA9E-5C1F9448D9FC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08E6-4B3E-BA9E-5C1F9448D9FC}"/>
              </c:ext>
            </c:extLst>
          </c:dPt>
          <c:dPt>
            <c:idx val="9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08E6-4B3E-BA9E-5C1F9448D9FC}"/>
              </c:ext>
            </c:extLst>
          </c:dPt>
          <c:dPt>
            <c:idx val="1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08E6-4B3E-BA9E-5C1F9448D9F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41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5-08E6-4B3E-BA9E-5C1F9448D9F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53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6-08E6-4B3E-BA9E-5C1F9448D9F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7-08E6-4B3E-BA9E-5C1F9448D9F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7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8-08E6-4B3E-BA9E-5C1F9448D9FC}"/>
                </c:ext>
              </c:extLst>
            </c:dLbl>
            <c:dLbl>
              <c:idx val="4"/>
              <c:layout>
                <c:manualLayout>
                  <c:x val="4.5351473922902563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88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08E6-4B3E-BA9E-5C1F9448D9FC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F-08E6-4B3E-BA9E-5C1F9448D9FC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tint val="89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0-08E6-4B3E-BA9E-5C1F9448D9FC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tint val="77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1-08E6-4B3E-BA9E-5C1F9448D9FC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55B7A95-2E4B-4FF5-A50B-49BB3B016AB9}" type="CATEGORYNAME">
                      <a:rPr lang="en-US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982D8A3D-D056-46E5-B909-8223FFE0DE33}" type="PERCENTAGE">
                      <a:rPr lang="en-US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42-08E6-4B3E-BA9E-5C1F9448D9FC}"/>
                </c:ext>
              </c:extLst>
            </c:dLbl>
            <c:dLbl>
              <c:idx val="9"/>
              <c:layout>
                <c:manualLayout>
                  <c:x val="0"/>
                  <c:y val="1.7601760176017601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427CE92-DBB8-4471-9B86-63BB8B8CDE08}" type="CATEGORYNAME">
                      <a:rPr lang="en-US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t>
</a:t>
                    </a:r>
                    <a:fld id="{10C2BFE1-9CDC-43FA-9DF4-ED8726622379}" type="PERCENTAGE">
                      <a:rPr lang="en-US" baseline="0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chemeClr val="accent6">
                          <a:lumMod val="75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43-08E6-4B3E-BA9E-5C1F9448D9FC}"/>
                </c:ext>
              </c:extLst>
            </c:dLbl>
            <c:dLbl>
              <c:idx val="10"/>
              <c:layout>
                <c:manualLayout>
                  <c:x val="0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98EE5FB-346A-4223-9C19-2AC19F8DD3E5}" type="CATEGORYNAME">
                      <a:rPr lang="en-US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t>
</a:t>
                    </a:r>
                    <a:fld id="{FBD03DDB-CEC9-4C3D-B368-D5B67F13735F}" type="PERCENTAGE">
                      <a:rPr lang="en-US" baseline="0">
                        <a:solidFill>
                          <a:schemeClr val="accent6">
                            <a:lumMod val="75000"/>
                          </a:schemeClr>
                        </a:solidFill>
                      </a:rPr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chemeClr val="accent6">
                          <a:lumMod val="75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44-08E6-4B3E-BA9E-5C1F9448D9F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'Expenses&amp;Incomes'!$K$3:$K$13</c:f>
              <c:strCache>
                <c:ptCount val="11"/>
                <c:pt idx="0">
                  <c:v>Bills</c:v>
                </c:pt>
                <c:pt idx="1">
                  <c:v>Entertainment</c:v>
                </c:pt>
                <c:pt idx="2">
                  <c:v>Other</c:v>
                </c:pt>
                <c:pt idx="3">
                  <c:v>Shopping</c:v>
                </c:pt>
                <c:pt idx="4">
                  <c:v>Subscription</c:v>
                </c:pt>
                <c:pt idx="5">
                  <c:v>Insurance</c:v>
                </c:pt>
                <c:pt idx="6">
                  <c:v>Supplements</c:v>
                </c:pt>
                <c:pt idx="7">
                  <c:v>Car Payments</c:v>
                </c:pt>
                <c:pt idx="8">
                  <c:v>Drinks</c:v>
                </c:pt>
                <c:pt idx="9">
                  <c:v>Food</c:v>
                </c:pt>
                <c:pt idx="10">
                  <c:v>Online Shopping</c:v>
                </c:pt>
              </c:strCache>
            </c:strRef>
          </c:cat>
          <c:val>
            <c:numRef>
              <c:f>'Expenses&amp;Incomes'!$L$3:$L$13</c:f>
              <c:numCache>
                <c:formatCode>"$"#,##0.00</c:formatCode>
                <c:ptCount val="11"/>
                <c:pt idx="0">
                  <c:v>78.430000000000007</c:v>
                </c:pt>
                <c:pt idx="1">
                  <c:v>14.45</c:v>
                </c:pt>
                <c:pt idx="2">
                  <c:v>35</c:v>
                </c:pt>
                <c:pt idx="3">
                  <c:v>53</c:v>
                </c:pt>
                <c:pt idx="4">
                  <c:v>10</c:v>
                </c:pt>
                <c:pt idx="5">
                  <c:v>45</c:v>
                </c:pt>
                <c:pt idx="6">
                  <c:v>87</c:v>
                </c:pt>
                <c:pt idx="7">
                  <c:v>78.12</c:v>
                </c:pt>
                <c:pt idx="8">
                  <c:v>3</c:v>
                </c:pt>
                <c:pt idx="9">
                  <c:v>25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8E6-4B3E-BA9E-5C1F9448D9FC}"/>
            </c:ext>
          </c:extLst>
        </c:ser>
        <c:ser>
          <c:idx val="3"/>
          <c:order val="1"/>
          <c:dPt>
            <c:idx val="0"/>
            <c:bubble3D val="0"/>
            <c:spPr>
              <a:solidFill>
                <a:schemeClr val="accent6">
                  <a:shade val="41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08E6-4B3E-BA9E-5C1F9448D9FC}"/>
              </c:ext>
            </c:extLst>
          </c:dPt>
          <c:dPt>
            <c:idx val="1"/>
            <c:bubble3D val="0"/>
            <c:spPr>
              <a:solidFill>
                <a:schemeClr val="accent6">
                  <a:shade val="5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08E6-4B3E-BA9E-5C1F9448D9FC}"/>
              </c:ext>
            </c:extLst>
          </c:dPt>
          <c:dPt>
            <c:idx val="2"/>
            <c:bubble3D val="0"/>
            <c:spPr>
              <a:solidFill>
                <a:schemeClr val="accent6">
                  <a:shade val="6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08E6-4B3E-BA9E-5C1F9448D9FC}"/>
              </c:ext>
            </c:extLst>
          </c:dPt>
          <c:dPt>
            <c:idx val="3"/>
            <c:bubble3D val="0"/>
            <c:spPr>
              <a:solidFill>
                <a:schemeClr val="accent6">
                  <a:shade val="76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08E6-4B3E-BA9E-5C1F9448D9F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41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A-08E6-4B3E-BA9E-5C1F9448D9F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53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B-08E6-4B3E-BA9E-5C1F9448D9F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C-08E6-4B3E-BA9E-5C1F9448D9F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7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D-08E6-4B3E-BA9E-5C1F9448D9F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'Expenses&amp;Incomes'!$K$3:$K$13</c:f>
              <c:strCache>
                <c:ptCount val="11"/>
                <c:pt idx="0">
                  <c:v>Bills</c:v>
                </c:pt>
                <c:pt idx="1">
                  <c:v>Entertainment</c:v>
                </c:pt>
                <c:pt idx="2">
                  <c:v>Other</c:v>
                </c:pt>
                <c:pt idx="3">
                  <c:v>Shopping</c:v>
                </c:pt>
                <c:pt idx="4">
                  <c:v>Subscription</c:v>
                </c:pt>
                <c:pt idx="5">
                  <c:v>Insurance</c:v>
                </c:pt>
                <c:pt idx="6">
                  <c:v>Supplements</c:v>
                </c:pt>
                <c:pt idx="7">
                  <c:v>Car Payments</c:v>
                </c:pt>
                <c:pt idx="8">
                  <c:v>Drinks</c:v>
                </c:pt>
                <c:pt idx="9">
                  <c:v>Food</c:v>
                </c:pt>
                <c:pt idx="10">
                  <c:v>Online Shopping</c:v>
                </c:pt>
              </c:strCache>
            </c:strRef>
          </c:cat>
          <c:val>
            <c:numRef>
              <c:f>'Expenses&amp;Incomes'!$M$2:$M$5</c:f>
              <c:numCache>
                <c:formatCode>0.00%</c:formatCode>
                <c:ptCount val="4"/>
                <c:pt idx="0">
                  <c:v>0</c:v>
                </c:pt>
                <c:pt idx="1">
                  <c:v>8.8024691358024681E-2</c:v>
                </c:pt>
                <c:pt idx="2">
                  <c:v>1.6217732884399549E-2</c:v>
                </c:pt>
                <c:pt idx="3">
                  <c:v>3.928170594837261E-2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8E6-4B3E-BA9E-5C1F9448D9FC}"/>
            </c:ext>
          </c:extLst>
        </c:ser>
        <c:ser>
          <c:idx val="0"/>
          <c:order val="2"/>
          <c:dPt>
            <c:idx val="0"/>
            <c:bubble3D val="0"/>
            <c:spPr>
              <a:solidFill>
                <a:schemeClr val="accent6">
                  <a:shade val="41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08E6-4B3E-BA9E-5C1F9448D9FC}"/>
              </c:ext>
            </c:extLst>
          </c:dPt>
          <c:dPt>
            <c:idx val="1"/>
            <c:bubble3D val="0"/>
            <c:spPr>
              <a:solidFill>
                <a:schemeClr val="accent6">
                  <a:shade val="5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08E6-4B3E-BA9E-5C1F9448D9FC}"/>
              </c:ext>
            </c:extLst>
          </c:dPt>
          <c:dPt>
            <c:idx val="2"/>
            <c:bubble3D val="0"/>
            <c:spPr>
              <a:solidFill>
                <a:schemeClr val="accent6">
                  <a:shade val="6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08E6-4B3E-BA9E-5C1F9448D9FC}"/>
              </c:ext>
            </c:extLst>
          </c:dPt>
          <c:dPt>
            <c:idx val="3"/>
            <c:bubble3D val="0"/>
            <c:spPr>
              <a:solidFill>
                <a:schemeClr val="accent6">
                  <a:shade val="76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08E6-4B3E-BA9E-5C1F9448D9FC}"/>
              </c:ext>
            </c:extLst>
          </c:dPt>
          <c:dPt>
            <c:idx val="4"/>
            <c:bubble3D val="0"/>
            <c:spPr>
              <a:solidFill>
                <a:schemeClr val="accent6">
                  <a:shade val="88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08E6-4B3E-BA9E-5C1F9448D9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08E6-4B3E-BA9E-5C1F9448D9FC}"/>
              </c:ext>
            </c:extLst>
          </c:dPt>
          <c:dPt>
            <c:idx val="6"/>
            <c:bubble3D val="0"/>
            <c:spPr>
              <a:solidFill>
                <a:schemeClr val="accent6">
                  <a:tint val="89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08E6-4B3E-BA9E-5C1F9448D9FC}"/>
              </c:ext>
            </c:extLst>
          </c:dPt>
          <c:dPt>
            <c:idx val="7"/>
            <c:bubble3D val="0"/>
            <c:spPr>
              <a:solidFill>
                <a:schemeClr val="accent6">
                  <a:tint val="77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08E6-4B3E-BA9E-5C1F9448D9FC}"/>
              </c:ext>
            </c:extLst>
          </c:dPt>
          <c:dPt>
            <c:idx val="8"/>
            <c:bubble3D val="0"/>
            <c:spPr>
              <a:solidFill>
                <a:schemeClr val="accent6">
                  <a:tint val="6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4-08E6-4B3E-BA9E-5C1F9448D9FC}"/>
              </c:ext>
            </c:extLst>
          </c:dPt>
          <c:dPt>
            <c:idx val="9"/>
            <c:bubble3D val="0"/>
            <c:spPr>
              <a:solidFill>
                <a:schemeClr val="accent6">
                  <a:tint val="54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08E6-4B3E-BA9E-5C1F9448D9FC}"/>
              </c:ext>
            </c:extLst>
          </c:dPt>
          <c:dPt>
            <c:idx val="10"/>
            <c:bubble3D val="0"/>
            <c:spPr>
              <a:solidFill>
                <a:schemeClr val="accent6">
                  <a:tint val="42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08E6-4B3E-BA9E-5C1F9448D9F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41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4-08E6-4B3E-BA9E-5C1F9448D9F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53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6-08E6-4B3E-BA9E-5C1F9448D9F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8-08E6-4B3E-BA9E-5C1F9448D9F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7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A-08E6-4B3E-BA9E-5C1F9448D9FC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88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C-08E6-4B3E-BA9E-5C1F9448D9FC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E-08E6-4B3E-BA9E-5C1F9448D9FC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tint val="89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0-08E6-4B3E-BA9E-5C1F9448D9FC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tint val="77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2-08E6-4B3E-BA9E-5C1F9448D9FC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tint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4-08E6-4B3E-BA9E-5C1F9448D9FC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tint val="54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6-08E6-4B3E-BA9E-5C1F9448D9FC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tint val="42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8-08E6-4B3E-BA9E-5C1F9448D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6">
                        <a:shade val="58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'Expenses&amp;Incomes'!$K$3:$K$13</c:f>
              <c:strCache>
                <c:ptCount val="11"/>
                <c:pt idx="0">
                  <c:v>Bills</c:v>
                </c:pt>
                <c:pt idx="1">
                  <c:v>Entertainment</c:v>
                </c:pt>
                <c:pt idx="2">
                  <c:v>Other</c:v>
                </c:pt>
                <c:pt idx="3">
                  <c:v>Shopping</c:v>
                </c:pt>
                <c:pt idx="4">
                  <c:v>Subscription</c:v>
                </c:pt>
                <c:pt idx="5">
                  <c:v>Insurance</c:v>
                </c:pt>
                <c:pt idx="6">
                  <c:v>Supplements</c:v>
                </c:pt>
                <c:pt idx="7">
                  <c:v>Car Payments</c:v>
                </c:pt>
                <c:pt idx="8">
                  <c:v>Drinks</c:v>
                </c:pt>
                <c:pt idx="9">
                  <c:v>Food</c:v>
                </c:pt>
                <c:pt idx="10">
                  <c:v>Online Shopping</c:v>
                </c:pt>
              </c:strCache>
            </c:strRef>
          </c:cat>
          <c:val>
            <c:numRef>
              <c:f>'Expenses&amp;Incomes'!$L$3:$L$13</c:f>
              <c:numCache>
                <c:formatCode>"$"#,##0.00</c:formatCode>
                <c:ptCount val="11"/>
                <c:pt idx="0">
                  <c:v>78.430000000000007</c:v>
                </c:pt>
                <c:pt idx="1">
                  <c:v>14.45</c:v>
                </c:pt>
                <c:pt idx="2">
                  <c:v>35</c:v>
                </c:pt>
                <c:pt idx="3">
                  <c:v>53</c:v>
                </c:pt>
                <c:pt idx="4">
                  <c:v>10</c:v>
                </c:pt>
                <c:pt idx="5">
                  <c:v>45</c:v>
                </c:pt>
                <c:pt idx="6">
                  <c:v>87</c:v>
                </c:pt>
                <c:pt idx="7">
                  <c:v>78.12</c:v>
                </c:pt>
                <c:pt idx="8">
                  <c:v>3</c:v>
                </c:pt>
                <c:pt idx="9">
                  <c:v>25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08E6-4B3E-BA9E-5C1F9448D9FC}"/>
            </c:ext>
          </c:extLst>
        </c:ser>
        <c:ser>
          <c:idx val="1"/>
          <c:order val="3"/>
          <c:dPt>
            <c:idx val="0"/>
            <c:bubble3D val="0"/>
            <c:spPr>
              <a:solidFill>
                <a:schemeClr val="accent6">
                  <a:shade val="41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08E6-4B3E-BA9E-5C1F9448D9FC}"/>
              </c:ext>
            </c:extLst>
          </c:dPt>
          <c:dPt>
            <c:idx val="1"/>
            <c:bubble3D val="0"/>
            <c:spPr>
              <a:solidFill>
                <a:schemeClr val="accent6">
                  <a:shade val="5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08E6-4B3E-BA9E-5C1F9448D9FC}"/>
              </c:ext>
            </c:extLst>
          </c:dPt>
          <c:dPt>
            <c:idx val="2"/>
            <c:bubble3D val="0"/>
            <c:spPr>
              <a:solidFill>
                <a:schemeClr val="accent6">
                  <a:shade val="6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08E6-4B3E-BA9E-5C1F9448D9FC}"/>
              </c:ext>
            </c:extLst>
          </c:dPt>
          <c:dPt>
            <c:idx val="3"/>
            <c:bubble3D val="0"/>
            <c:spPr>
              <a:solidFill>
                <a:schemeClr val="accent6">
                  <a:shade val="76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08E6-4B3E-BA9E-5C1F9448D9F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41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C-08E6-4B3E-BA9E-5C1F9448D9F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53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E-08E6-4B3E-BA9E-5C1F9448D9F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0-08E6-4B3E-BA9E-5C1F9448D9F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shade val="7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2-08E6-4B3E-BA9E-5C1F9448D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6">
                        <a:shade val="86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'Expenses&amp;Incomes'!$K$3:$K$13</c:f>
              <c:strCache>
                <c:ptCount val="11"/>
                <c:pt idx="0">
                  <c:v>Bills</c:v>
                </c:pt>
                <c:pt idx="1">
                  <c:v>Entertainment</c:v>
                </c:pt>
                <c:pt idx="2">
                  <c:v>Other</c:v>
                </c:pt>
                <c:pt idx="3">
                  <c:v>Shopping</c:v>
                </c:pt>
                <c:pt idx="4">
                  <c:v>Subscription</c:v>
                </c:pt>
                <c:pt idx="5">
                  <c:v>Insurance</c:v>
                </c:pt>
                <c:pt idx="6">
                  <c:v>Supplements</c:v>
                </c:pt>
                <c:pt idx="7">
                  <c:v>Car Payments</c:v>
                </c:pt>
                <c:pt idx="8">
                  <c:v>Drinks</c:v>
                </c:pt>
                <c:pt idx="9">
                  <c:v>Food</c:v>
                </c:pt>
                <c:pt idx="10">
                  <c:v>Online Shopping</c:v>
                </c:pt>
              </c:strCache>
            </c:strRef>
          </c:cat>
          <c:val>
            <c:numRef>
              <c:f>'Expenses&amp;Incomes'!$M$2:$M$5</c:f>
              <c:numCache>
                <c:formatCode>0.00%</c:formatCode>
                <c:ptCount val="4"/>
                <c:pt idx="0">
                  <c:v>0</c:v>
                </c:pt>
                <c:pt idx="1">
                  <c:v>8.8024691358024681E-2</c:v>
                </c:pt>
                <c:pt idx="2">
                  <c:v>1.6217732884399549E-2</c:v>
                </c:pt>
                <c:pt idx="3">
                  <c:v>3.928170594837261E-2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08E6-4B3E-BA9E-5C1F9448D9F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9D08E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Output!$K$1:$L$1</c:f>
              <c:strCache>
                <c:ptCount val="2"/>
                <c:pt idx="0">
                  <c:v>Total for graph</c:v>
                </c:pt>
                <c:pt idx="1">
                  <c:v>Total for Everything</c:v>
                </c:pt>
              </c:strCache>
            </c:strRef>
          </c:cat>
          <c:val>
            <c:numRef>
              <c:f>Output!$K$2:$L$2</c:f>
              <c:numCache>
                <c:formatCode>"$"#,##0.00</c:formatCode>
                <c:ptCount val="2"/>
                <c:pt idx="0">
                  <c:v>671.00000000000011</c:v>
                </c:pt>
                <c:pt idx="1">
                  <c:v>891.00000000000011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C-4919-80C2-DAB2A3CE94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73447312"/>
        <c:axId val="523829056"/>
      </c:barChart>
      <c:catAx>
        <c:axId val="1473447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3829056"/>
        <c:crosses val="autoZero"/>
        <c:auto val="1"/>
        <c:lblAlgn val="ctr"/>
        <c:lblOffset val="100"/>
        <c:noMultiLvlLbl val="0"/>
      </c:catAx>
      <c:valAx>
        <c:axId val="5238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44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91879949348458"/>
          <c:y val="0.11131766811398228"/>
          <c:w val="0.77126004227827372"/>
          <c:h val="0.654004447925722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A9D08E"/>
            </a:solidFill>
            <a:ln>
              <a:noFill/>
            </a:ln>
            <a:effectLst/>
          </c:spPr>
          <c:invertIfNegative val="0"/>
          <c:val>
            <c:numRef>
              <c:f>Goals!$D$2</c:f>
              <c:numCache>
                <c:formatCode>"$"#,##0.00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1-094C-BE3B-978225FF86A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Goals!$E$2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B51-094C-BE3B-978225FF86A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Goals!$F$2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B51-094C-BE3B-978225FF86A2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Goals!$G$2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B51-094C-BE3B-978225FF86A2}"/>
            </c:ext>
          </c:extLst>
        </c:ser>
        <c:ser>
          <c:idx val="4"/>
          <c:order val="4"/>
          <c:spPr>
            <a:solidFill>
              <a:srgbClr val="A9D08E"/>
            </a:solidFill>
            <a:ln>
              <a:noFill/>
            </a:ln>
            <a:effectLst/>
          </c:spPr>
          <c:invertIfNegative val="0"/>
          <c:val>
            <c:numRef>
              <c:f>Goals!$H$2</c:f>
              <c:numCache>
                <c:formatCode>"$"#,##0.00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51-094C-BE3B-978225FF8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77586960"/>
        <c:axId val="2119796032"/>
      </c:barChart>
      <c:catAx>
        <c:axId val="2077586960"/>
        <c:scaling>
          <c:orientation val="minMax"/>
        </c:scaling>
        <c:delete val="1"/>
        <c:axPos val="l"/>
        <c:majorTickMark val="none"/>
        <c:minorTickMark val="none"/>
        <c:tickLblPos val="nextTo"/>
        <c:crossAx val="2119796032"/>
        <c:crosses val="autoZero"/>
        <c:auto val="1"/>
        <c:lblAlgn val="ctr"/>
        <c:lblOffset val="100"/>
        <c:noMultiLvlLbl val="0"/>
      </c:catAx>
      <c:valAx>
        <c:axId val="2119796032"/>
        <c:scaling>
          <c:orientation val="minMax"/>
          <c:max val="10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586960"/>
        <c:crosses val="autoZero"/>
        <c:crossBetween val="between"/>
        <c:majorUnit val="2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Spending</a:t>
            </a:r>
            <a:r>
              <a:rPr lang="en-US" baseline="0"/>
              <a:t> Comparsion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9D08E"/>
            </a:solidFill>
            <a:ln>
              <a:noFill/>
            </a:ln>
            <a:effectLst/>
          </c:spPr>
          <c:invertIfNegative val="0"/>
          <c:cat>
            <c:strRef>
              <c:f>Output!$K$1:$L$1</c:f>
              <c:strCache>
                <c:ptCount val="2"/>
                <c:pt idx="0">
                  <c:v>Total for graph</c:v>
                </c:pt>
                <c:pt idx="1">
                  <c:v>Total for Everything</c:v>
                </c:pt>
              </c:strCache>
            </c:strRef>
          </c:cat>
          <c:val>
            <c:numRef>
              <c:f>Output!$K$2:$L$2</c:f>
              <c:numCache>
                <c:formatCode>"$"#,##0.00</c:formatCode>
                <c:ptCount val="2"/>
                <c:pt idx="0">
                  <c:v>671.00000000000011</c:v>
                </c:pt>
                <c:pt idx="1">
                  <c:v>891.00000000000011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33-C644-9115-EECFD5C83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3447312"/>
        <c:axId val="523829056"/>
      </c:barChart>
      <c:catAx>
        <c:axId val="147344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29056"/>
        <c:crosses val="autoZero"/>
        <c:auto val="1"/>
        <c:lblAlgn val="ctr"/>
        <c:lblOffset val="100"/>
        <c:noMultiLvlLbl val="0"/>
      </c:catAx>
      <c:valAx>
        <c:axId val="5238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44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1.xml"/><Relationship Id="rId3" Type="http://schemas.openxmlformats.org/officeDocument/2006/relationships/image" Target="../media/image2.svg"/><Relationship Id="rId7" Type="http://schemas.openxmlformats.org/officeDocument/2006/relationships/hyperlink" Target="#Goals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Financial Advice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chart" Target="../charts/chart3.xml"/><Relationship Id="rId10" Type="http://schemas.openxmlformats.org/officeDocument/2006/relationships/hyperlink" Target="#'Expenses&amp;Incomes'!A1"/><Relationship Id="rId4" Type="http://schemas.openxmlformats.org/officeDocument/2006/relationships/hyperlink" Target="#Output!A1"/><Relationship Id="rId9" Type="http://schemas.openxmlformats.org/officeDocument/2006/relationships/image" Target="../media/image6.svg"/><Relationship Id="rId1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Goals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Financial Advice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'Expenses&amp;Incomes'!A1"/><Relationship Id="rId4" Type="http://schemas.openxmlformats.org/officeDocument/2006/relationships/hyperlink" Target="#Output!A1"/><Relationship Id="rId9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Goals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Financial Advice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'Expenses&amp;Incomes'!A1"/><Relationship Id="rId4" Type="http://schemas.openxmlformats.org/officeDocument/2006/relationships/hyperlink" Target="#Output!A1"/><Relationship Id="rId9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4.xml"/><Relationship Id="rId3" Type="http://schemas.openxmlformats.org/officeDocument/2006/relationships/image" Target="../media/image2.svg"/><Relationship Id="rId7" Type="http://schemas.openxmlformats.org/officeDocument/2006/relationships/hyperlink" Target="#Goals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Financial Advice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'Expenses&amp;Incomes'!A1"/><Relationship Id="rId4" Type="http://schemas.openxmlformats.org/officeDocument/2006/relationships/hyperlink" Target="#Output!A1"/><Relationship Id="rId9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Goals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Financial Advice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'Expenses&amp;Incomes'!A1"/><Relationship Id="rId4" Type="http://schemas.openxmlformats.org/officeDocument/2006/relationships/hyperlink" Target="#Output!A1"/><Relationship Id="rId9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196990</xdr:colOff>
      <xdr:row>4</xdr:row>
      <xdr:rowOff>179370</xdr:rowOff>
    </xdr:from>
    <xdr:to>
      <xdr:col>4</xdr:col>
      <xdr:colOff>347980</xdr:colOff>
      <xdr:row>9</xdr:row>
      <xdr:rowOff>38100</xdr:rowOff>
    </xdr:to>
    <xdr:sp macro="" textlink="Goals!H2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378090" y="941370"/>
          <a:ext cx="1332090" cy="811230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9F0292F-BA52-4BC2-9BA9-0E3A9B61A3BC}" type="TxLink">
            <a:rPr lang="en-US" sz="2400" b="1" i="0" u="none" strike="noStrike" baseline="0">
              <a:solidFill>
                <a:srgbClr val="536493"/>
              </a:solidFill>
              <a:latin typeface="Calibri"/>
              <a:ea typeface="Calibri"/>
              <a:cs typeface="Calibri"/>
            </a:rPr>
            <a:pPr algn="ctr"/>
            <a:t>$300.00</a:t>
          </a:fld>
          <a:endParaRPr lang="en-CA" sz="4800" b="1">
            <a:solidFill>
              <a:srgbClr val="536493"/>
            </a:solidFill>
            <a:latin typeface="Segoe UI" panose="020F0502020204030204" pitchFamily="34" charset="0"/>
            <a:cs typeface="Segoe UI" panose="020F0502020204030204" pitchFamily="34" charset="0"/>
          </a:endParaRPr>
        </a:p>
      </xdr:txBody>
    </xdr:sp>
    <xdr:clientData/>
  </xdr:twoCellAnchor>
  <xdr:twoCellAnchor>
    <xdr:from>
      <xdr:col>9</xdr:col>
      <xdr:colOff>56797</xdr:colOff>
      <xdr:row>5</xdr:row>
      <xdr:rowOff>14110</xdr:rowOff>
    </xdr:from>
    <xdr:to>
      <xdr:col>13</xdr:col>
      <xdr:colOff>127354</xdr:colOff>
      <xdr:row>18</xdr:row>
      <xdr:rowOff>84665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371747" y="966610"/>
          <a:ext cx="2489907" cy="2547055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Total Spending</a:t>
          </a:r>
          <a:endParaRPr lang="en-CA" sz="1100" b="1">
            <a:solidFill>
              <a:srgbClr val="536493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0</xdr:col>
      <xdr:colOff>142874</xdr:colOff>
      <xdr:row>6</xdr:row>
      <xdr:rowOff>114299</xdr:rowOff>
    </xdr:from>
    <xdr:to>
      <xdr:col>1</xdr:col>
      <xdr:colOff>342899</xdr:colOff>
      <xdr:row>10</xdr:row>
      <xdr:rowOff>161924</xdr:rowOff>
    </xdr:to>
    <xdr:pic>
      <xdr:nvPicPr>
        <xdr:cNvPr id="4" name="Graphic 3" descr="Call cen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2874" y="12572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142874</xdr:colOff>
      <xdr:row>11</xdr:row>
      <xdr:rowOff>180974</xdr:rowOff>
    </xdr:from>
    <xdr:to>
      <xdr:col>1</xdr:col>
      <xdr:colOff>342899</xdr:colOff>
      <xdr:row>16</xdr:row>
      <xdr:rowOff>38099</xdr:rowOff>
    </xdr:to>
    <xdr:pic>
      <xdr:nvPicPr>
        <xdr:cNvPr id="6" name="Graphic 5" descr="Databa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2874" y="22764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22</xdr:row>
      <xdr:rowOff>180974</xdr:rowOff>
    </xdr:from>
    <xdr:to>
      <xdr:col>1</xdr:col>
      <xdr:colOff>333374</xdr:colOff>
      <xdr:row>27</xdr:row>
      <xdr:rowOff>38099</xdr:rowOff>
    </xdr:to>
    <xdr:pic>
      <xdr:nvPicPr>
        <xdr:cNvPr id="8" name="Graphic 7" descr="Bullsey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3349" y="43719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123824</xdr:colOff>
      <xdr:row>16</xdr:row>
      <xdr:rowOff>190499</xdr:rowOff>
    </xdr:from>
    <xdr:to>
      <xdr:col>1</xdr:col>
      <xdr:colOff>323849</xdr:colOff>
      <xdr:row>21</xdr:row>
      <xdr:rowOff>47624</xdr:rowOff>
    </xdr:to>
    <xdr:pic>
      <xdr:nvPicPr>
        <xdr:cNvPr id="10" name="Graphic 9" descr="Mone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23824" y="3238499"/>
          <a:ext cx="809625" cy="809625"/>
        </a:xfrm>
        <a:prstGeom prst="rect">
          <a:avLst/>
        </a:prstGeom>
      </xdr:spPr>
    </xdr:pic>
    <xdr:clientData/>
  </xdr:twoCellAnchor>
  <xdr:twoCellAnchor>
    <xdr:from>
      <xdr:col>2</xdr:col>
      <xdr:colOff>200024</xdr:colOff>
      <xdr:row>0</xdr:row>
      <xdr:rowOff>180975</xdr:rowOff>
    </xdr:from>
    <xdr:to>
      <xdr:col>13</xdr:col>
      <xdr:colOff>133349</xdr:colOff>
      <xdr:row>4</xdr:row>
      <xdr:rowOff>114300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81124" y="180975"/>
          <a:ext cx="6486525" cy="695325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2400" b="1" baseline="0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Financial Dashboard - Kurtis Lin</a:t>
          </a:r>
        </a:p>
        <a:p>
          <a:pPr algn="l"/>
          <a:r>
            <a:rPr lang="en-CA" sz="1000" b="0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Figuers</a:t>
          </a:r>
          <a:r>
            <a:rPr lang="en-CA" sz="1000" b="0" baseline="0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 in hundreds of CAD</a:t>
          </a:r>
          <a:endParaRPr lang="en-CA" sz="1000" b="0">
            <a:solidFill>
              <a:srgbClr val="536493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257763</xdr:colOff>
      <xdr:row>18</xdr:row>
      <xdr:rowOff>164747</xdr:rowOff>
    </xdr:from>
    <xdr:to>
      <xdr:col>8</xdr:col>
      <xdr:colOff>497840</xdr:colOff>
      <xdr:row>35</xdr:row>
      <xdr:rowOff>64178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438863" y="3593747"/>
          <a:ext cx="3783377" cy="3137931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Category Of Spending</a:t>
          </a:r>
        </a:p>
      </xdr:txBody>
    </xdr:sp>
    <xdr:clientData/>
  </xdr:twoCellAnchor>
  <xdr:twoCellAnchor>
    <xdr:from>
      <xdr:col>8</xdr:col>
      <xdr:colOff>580390</xdr:colOff>
      <xdr:row>19</xdr:row>
      <xdr:rowOff>25405</xdr:rowOff>
    </xdr:from>
    <xdr:to>
      <xdr:col>13</xdr:col>
      <xdr:colOff>75141</xdr:colOff>
      <xdr:row>23</xdr:row>
      <xdr:rowOff>161925</xdr:rowOff>
    </xdr:to>
    <xdr:sp macro="" textlink="'Stock watchlsit '!E2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304790" y="3644905"/>
          <a:ext cx="2504651" cy="898520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784E5A4C-C519-464D-B098-A8407CE66AC7}" type="TxLink">
            <a:rPr lang="en-US" sz="2400" b="0" i="0" u="none" strike="noStrike" baseline="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Calibri"/>
            </a:rPr>
            <a:pPr algn="ctr"/>
            <a:t>-0.0085</a:t>
          </a:fld>
          <a:endParaRPr lang="en-CA" sz="48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0</xdr:rowOff>
    </xdr:from>
    <xdr:to>
      <xdr:col>17</xdr:col>
      <xdr:colOff>295275</xdr:colOff>
      <xdr:row>18</xdr:row>
      <xdr:rowOff>127000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013825" y="190500"/>
          <a:ext cx="2787650" cy="3365500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800" b="1" baseline="0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Top 3 Most Spendings</a:t>
          </a:r>
        </a:p>
        <a:p>
          <a:pPr algn="l"/>
          <a:endParaRPr lang="en-CA" sz="1100" b="1">
            <a:solidFill>
              <a:srgbClr val="536493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247650</xdr:colOff>
      <xdr:row>20</xdr:row>
      <xdr:rowOff>19050</xdr:rowOff>
    </xdr:from>
    <xdr:to>
      <xdr:col>9</xdr:col>
      <xdr:colOff>64770</xdr:colOff>
      <xdr:row>35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98778</xdr:colOff>
      <xdr:row>6</xdr:row>
      <xdr:rowOff>112889</xdr:rowOff>
    </xdr:from>
    <xdr:to>
      <xdr:col>12</xdr:col>
      <xdr:colOff>585611</xdr:colOff>
      <xdr:row>17</xdr:row>
      <xdr:rowOff>61205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293130</xdr:colOff>
      <xdr:row>16</xdr:row>
      <xdr:rowOff>124649</xdr:rowOff>
    </xdr:from>
    <xdr:to>
      <xdr:col>12</xdr:col>
      <xdr:colOff>487680</xdr:colOff>
      <xdr:row>17</xdr:row>
      <xdr:rowOff>181858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84430" y="3172649"/>
          <a:ext cx="788910" cy="2477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 b="1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November</a:t>
          </a:r>
          <a:endParaRPr lang="en-CA" sz="1000" b="1">
            <a:solidFill>
              <a:srgbClr val="536493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201125</xdr:colOff>
      <xdr:row>16</xdr:row>
      <xdr:rowOff>124620</xdr:rowOff>
    </xdr:from>
    <xdr:to>
      <xdr:col>11</xdr:col>
      <xdr:colOff>356349</xdr:colOff>
      <xdr:row>17</xdr:row>
      <xdr:rowOff>181829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6933655" y="3184861"/>
          <a:ext cx="828477" cy="248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900" b="1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Monthly</a:t>
          </a:r>
        </a:p>
      </xdr:txBody>
    </xdr:sp>
    <xdr:clientData/>
  </xdr:twoCellAnchor>
  <xdr:twoCellAnchor>
    <xdr:from>
      <xdr:col>4</xdr:col>
      <xdr:colOff>426720</xdr:colOff>
      <xdr:row>5</xdr:row>
      <xdr:rowOff>18938</xdr:rowOff>
    </xdr:from>
    <xdr:to>
      <xdr:col>8</xdr:col>
      <xdr:colOff>634645</xdr:colOff>
      <xdr:row>12</xdr:row>
      <xdr:rowOff>183615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108960" y="984138"/>
          <a:ext cx="2890165" cy="1515957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>
              <a:solidFill>
                <a:srgbClr val="536493"/>
              </a:solidFill>
              <a:latin typeface="Segoe UI" panose="020B0502040204020203" pitchFamily="34" charset="0"/>
              <a:cs typeface="Segoe UI" panose="020B0502040204020203" pitchFamily="34" charset="0"/>
            </a:rPr>
            <a:t>Saving Goals</a:t>
          </a:r>
          <a:endParaRPr lang="en-CA" sz="1100" b="1">
            <a:solidFill>
              <a:srgbClr val="536493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3</xdr:col>
      <xdr:colOff>246944</xdr:colOff>
      <xdr:row>14</xdr:row>
      <xdr:rowOff>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024944" y="2667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4</xdr:col>
      <xdr:colOff>436086</xdr:colOff>
      <xdr:row>6</xdr:row>
      <xdr:rowOff>160664</xdr:rowOff>
    </xdr:from>
    <xdr:to>
      <xdr:col>8</xdr:col>
      <xdr:colOff>374880</xdr:colOff>
      <xdr:row>12</xdr:row>
      <xdr:rowOff>130061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7650</xdr:colOff>
      <xdr:row>7</xdr:row>
      <xdr:rowOff>130060</xdr:rowOff>
    </xdr:from>
    <xdr:to>
      <xdr:col>9</xdr:col>
      <xdr:colOff>114300</xdr:colOff>
      <xdr:row>9</xdr:row>
      <xdr:rowOff>45902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762530" y="1463560"/>
          <a:ext cx="701010" cy="2968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536493"/>
              </a:solidFill>
            </a:rPr>
            <a:t>Current</a:t>
          </a:r>
        </a:p>
      </xdr:txBody>
    </xdr:sp>
    <xdr:clientData/>
  </xdr:twoCellAnchor>
  <xdr:twoCellAnchor>
    <xdr:from>
      <xdr:col>8</xdr:col>
      <xdr:colOff>59147</xdr:colOff>
      <xdr:row>9</xdr:row>
      <xdr:rowOff>148995</xdr:rowOff>
    </xdr:from>
    <xdr:to>
      <xdr:col>9</xdr:col>
      <xdr:colOff>43846</xdr:colOff>
      <xdr:row>11</xdr:row>
      <xdr:rowOff>64838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5445171" y="1870381"/>
          <a:ext cx="657952" cy="2983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536493"/>
              </a:solidFill>
            </a:rPr>
            <a:t>Goa</a:t>
          </a:r>
          <a:r>
            <a:rPr lang="en-US" sz="1100" b="1" baseline="0">
              <a:solidFill>
                <a:srgbClr val="536493"/>
              </a:solidFill>
            </a:rPr>
            <a:t>l</a:t>
          </a:r>
        </a:p>
      </xdr:txBody>
    </xdr:sp>
    <xdr:clientData/>
  </xdr:twoCellAnchor>
  <xdr:twoCellAnchor>
    <xdr:from>
      <xdr:col>6</xdr:col>
      <xdr:colOff>371699</xdr:colOff>
      <xdr:row>13</xdr:row>
      <xdr:rowOff>109964</xdr:rowOff>
    </xdr:from>
    <xdr:to>
      <xdr:col>8</xdr:col>
      <xdr:colOff>626125</xdr:colOff>
      <xdr:row>18</xdr:row>
      <xdr:rowOff>37029</xdr:rowOff>
    </xdr:to>
    <xdr:sp macro="" textlink="Output!K2">
      <xdr:nvSpPr>
        <xdr:cNvPr id="26" name="Rectangle: Rounded Corners 12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411217" y="2596410"/>
          <a:ext cx="1600932" cy="883390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FC1BD8C-E17B-1A40-BB02-C0FCBF9CB287}" type="TxLink">
            <a:rPr lang="en-US" sz="2000" b="1" i="0" u="none" strike="noStrike" baseline="0">
              <a:solidFill>
                <a:srgbClr val="536493"/>
              </a:solidFill>
              <a:latin typeface="Calibri"/>
              <a:cs typeface="Calibri"/>
            </a:rPr>
            <a:pPr algn="ctr"/>
            <a:t>$671.00</a:t>
          </a:fld>
          <a:endParaRPr lang="en-CA" sz="2000" b="1">
            <a:solidFill>
              <a:srgbClr val="536493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345440</xdr:colOff>
      <xdr:row>13</xdr:row>
      <xdr:rowOff>117268</xdr:rowOff>
    </xdr:from>
    <xdr:to>
      <xdr:col>6</xdr:col>
      <xdr:colOff>318140</xdr:colOff>
      <xdr:row>18</xdr:row>
      <xdr:rowOff>44333</xdr:rowOff>
    </xdr:to>
    <xdr:sp macro="" textlink="'Expenses&amp;Incomes'!P18">
      <xdr:nvSpPr>
        <xdr:cNvPr id="27" name="Rectangle: Rounded Corners 12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7640" y="2593768"/>
          <a:ext cx="1153800" cy="879565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49CC3E57-B2C1-4B46-87C1-603E93900506}" type="TxLink">
            <a:rPr lang="en-US" sz="1600" b="1" i="0" u="none" strike="noStrike">
              <a:solidFill>
                <a:srgbClr val="536493"/>
              </a:solidFill>
              <a:latin typeface="+mn-lt"/>
              <a:ea typeface="Segoe UI Black" panose="020B0A02040204020203" pitchFamily="34" charset="0"/>
              <a:cs typeface="Calibri"/>
            </a:rPr>
            <a:pPr algn="ctr"/>
            <a:t>$900.00</a:t>
          </a:fld>
          <a:endParaRPr lang="en-CA" sz="4400" b="1">
            <a:solidFill>
              <a:srgbClr val="536493"/>
            </a:solidFill>
            <a:latin typeface="+mn-lt"/>
            <a:ea typeface="Segoe UI Black" panose="020B0A02040204020203" pitchFamily="34" charset="0"/>
            <a:cs typeface="Segoe UI" panose="020F0502020204030204" pitchFamily="34" charset="0"/>
          </a:endParaRPr>
        </a:p>
      </xdr:txBody>
    </xdr:sp>
    <xdr:clientData/>
  </xdr:twoCellAnchor>
  <xdr:twoCellAnchor>
    <xdr:from>
      <xdr:col>2</xdr:col>
      <xdr:colOff>213360</xdr:colOff>
      <xdr:row>13</xdr:row>
      <xdr:rowOff>114983</xdr:rowOff>
    </xdr:from>
    <xdr:to>
      <xdr:col>4</xdr:col>
      <xdr:colOff>274320</xdr:colOff>
      <xdr:row>18</xdr:row>
      <xdr:rowOff>60960</xdr:rowOff>
    </xdr:to>
    <xdr:sp macro="" textlink="'Expenses&amp;Incomes'!O2">
      <xdr:nvSpPr>
        <xdr:cNvPr id="28" name="Rectangle: Rounded Corners 12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554480" y="2624503"/>
          <a:ext cx="1402080" cy="911177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E7CABF6-6BDE-AD45-A11A-2F97FAFE3B5D}" type="TxLink">
            <a:rPr lang="en-US" sz="1800" b="1" i="0" u="none" strike="noStrike">
              <a:solidFill>
                <a:srgbClr val="536493"/>
              </a:solidFill>
              <a:latin typeface="Segoe UI" panose="020F0502020204030204" pitchFamily="34" charset="0"/>
              <a:cs typeface="Segoe UI" panose="020F0502020204030204" pitchFamily="34" charset="0"/>
            </a:rPr>
            <a:pPr algn="ctr"/>
            <a:t>$20.00</a:t>
          </a:fld>
          <a:endParaRPr lang="en-CA" sz="1800" b="1">
            <a:solidFill>
              <a:srgbClr val="536493"/>
            </a:solidFill>
            <a:latin typeface="Segoe UI" panose="020F0502020204030204" pitchFamily="34" charset="0"/>
            <a:cs typeface="Segoe UI" panose="020F0502020204030204" pitchFamily="34" charset="0"/>
          </a:endParaRPr>
        </a:p>
      </xdr:txBody>
    </xdr:sp>
    <xdr:clientData/>
  </xdr:twoCellAnchor>
  <xdr:oneCellAnchor>
    <xdr:from>
      <xdr:col>2</xdr:col>
      <xdr:colOff>221386</xdr:colOff>
      <xdr:row>7</xdr:row>
      <xdr:rowOff>50050</xdr:rowOff>
    </xdr:from>
    <xdr:ext cx="1327223" cy="297004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402486" y="1383550"/>
          <a:ext cx="1327223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>
              <a:solidFill>
                <a:srgbClr val="536493"/>
              </a:solidFill>
              <a:latin typeface="Segoe UI" panose="020F0502020204030204" pitchFamily="34" charset="0"/>
              <a:cs typeface="Segoe UI" panose="020F0502020204030204" pitchFamily="34" charset="0"/>
            </a:rPr>
            <a:t>Current</a:t>
          </a:r>
          <a:r>
            <a:rPr lang="en-US" sz="1200" b="1" baseline="0">
              <a:solidFill>
                <a:srgbClr val="536493"/>
              </a:solidFill>
              <a:latin typeface="Segoe UI" panose="020F0502020204030204" pitchFamily="34" charset="0"/>
              <a:cs typeface="Segoe UI" panose="020F0502020204030204" pitchFamily="34" charset="0"/>
            </a:rPr>
            <a:t> Savings</a:t>
          </a:r>
          <a:endParaRPr lang="en-US" sz="1200" b="1">
            <a:solidFill>
              <a:srgbClr val="536493"/>
            </a:solidFill>
            <a:latin typeface="Segoe UI" panose="020F0502020204030204" pitchFamily="34" charset="0"/>
            <a:cs typeface="Segoe UI" panose="020F0502020204030204" pitchFamily="34" charset="0"/>
          </a:endParaRPr>
        </a:p>
      </xdr:txBody>
    </xdr:sp>
    <xdr:clientData/>
  </xdr:oneCellAnchor>
  <xdr:twoCellAnchor>
    <xdr:from>
      <xdr:col>6</xdr:col>
      <xdr:colOff>411450</xdr:colOff>
      <xdr:row>15</xdr:row>
      <xdr:rowOff>101694</xdr:rowOff>
    </xdr:from>
    <xdr:to>
      <xdr:col>8</xdr:col>
      <xdr:colOff>591820</xdr:colOff>
      <xdr:row>19</xdr:row>
      <xdr:rowOff>60960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3977610" y="2959194"/>
          <a:ext cx="1369090" cy="7212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rgbClr val="536493"/>
              </a:solidFill>
            </a:rPr>
            <a:t>Month</a:t>
          </a:r>
          <a:r>
            <a:rPr lang="en-US" sz="1400" b="1" baseline="0">
              <a:solidFill>
                <a:srgbClr val="536493"/>
              </a:solidFill>
            </a:rPr>
            <a:t> </a:t>
          </a:r>
          <a:r>
            <a:rPr lang="en-US" sz="1400" b="1">
              <a:solidFill>
                <a:srgbClr val="536493"/>
              </a:solidFill>
            </a:rPr>
            <a:t>Spending</a:t>
          </a:r>
        </a:p>
      </xdr:txBody>
    </xdr:sp>
    <xdr:clientData/>
  </xdr:twoCellAnchor>
  <xdr:twoCellAnchor>
    <xdr:from>
      <xdr:col>4</xdr:col>
      <xdr:colOff>388620</xdr:colOff>
      <xdr:row>13</xdr:row>
      <xdr:rowOff>114300</xdr:rowOff>
    </xdr:from>
    <xdr:to>
      <xdr:col>6</xdr:col>
      <xdr:colOff>228600</xdr:colOff>
      <xdr:row>17</xdr:row>
      <xdr:rowOff>182880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2750820" y="2590800"/>
          <a:ext cx="102108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rgbClr val="536493"/>
              </a:solidFill>
              <a:latin typeface="Segoe UI" panose="020F0502020204030204" pitchFamily="34" charset="0"/>
              <a:cs typeface="Segoe UI" panose="020F0502020204030204" pitchFamily="34" charset="0"/>
            </a:rPr>
            <a:t>Month</a:t>
          </a:r>
          <a:r>
            <a:rPr lang="en-US" sz="1400" b="1" baseline="0">
              <a:solidFill>
                <a:srgbClr val="536493"/>
              </a:solidFill>
              <a:latin typeface="Segoe UI" panose="020F0502020204030204" pitchFamily="34" charset="0"/>
              <a:cs typeface="Segoe UI" panose="020F0502020204030204" pitchFamily="34" charset="0"/>
            </a:rPr>
            <a:t> </a:t>
          </a:r>
          <a:r>
            <a:rPr lang="en-US" sz="1400" b="1">
              <a:solidFill>
                <a:srgbClr val="536493"/>
              </a:solidFill>
              <a:latin typeface="Segoe UI" panose="020F0502020204030204" pitchFamily="34" charset="0"/>
              <a:cs typeface="Segoe UI" panose="020F0502020204030204" pitchFamily="34" charset="0"/>
            </a:rPr>
            <a:t>Income</a:t>
          </a:r>
        </a:p>
      </xdr:txBody>
    </xdr:sp>
    <xdr:clientData/>
  </xdr:twoCellAnchor>
  <xdr:twoCellAnchor>
    <xdr:from>
      <xdr:col>2</xdr:col>
      <xdr:colOff>241300</xdr:colOff>
      <xdr:row>15</xdr:row>
      <xdr:rowOff>66722</xdr:rowOff>
    </xdr:from>
    <xdr:to>
      <xdr:col>4</xdr:col>
      <xdr:colOff>261620</xdr:colOff>
      <xdr:row>18</xdr:row>
      <xdr:rowOff>83819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430020" y="2924222"/>
          <a:ext cx="1209040" cy="588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>
              <a:solidFill>
                <a:srgbClr val="536493"/>
              </a:solidFill>
              <a:latin typeface="Segoe UI" panose="020F0502020204030204" pitchFamily="34" charset="0"/>
              <a:cs typeface="Segoe UI" panose="020F0502020204030204" pitchFamily="34" charset="0"/>
            </a:rPr>
            <a:t>Month Saving Goal</a:t>
          </a:r>
        </a:p>
      </xdr:txBody>
    </xdr:sp>
    <xdr:clientData/>
  </xdr:twoCellAnchor>
  <xdr:twoCellAnchor>
    <xdr:from>
      <xdr:col>2</xdr:col>
      <xdr:colOff>203200</xdr:colOff>
      <xdr:row>9</xdr:row>
      <xdr:rowOff>114300</xdr:rowOff>
    </xdr:from>
    <xdr:to>
      <xdr:col>4</xdr:col>
      <xdr:colOff>354190</xdr:colOff>
      <xdr:row>13</xdr:row>
      <xdr:rowOff>62612</xdr:rowOff>
    </xdr:to>
    <xdr:sp macro="" textlink="Output!T5">
      <xdr:nvSpPr>
        <xdr:cNvPr id="33" name="Rectangle: Rounded Corners 1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84300" y="1828800"/>
          <a:ext cx="1332090" cy="710312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B43091F7-A943-4289-8471-EB0A3B0B917F}" type="TxLink">
            <a:rPr lang="en-US" sz="1800" b="1" i="0" u="none" strike="noStrike" baseline="0">
              <a:solidFill>
                <a:srgbClr val="536493"/>
              </a:solidFill>
              <a:latin typeface="Calibri"/>
              <a:ea typeface="Calibri"/>
              <a:cs typeface="Calibri"/>
            </a:rPr>
            <a:pPr algn="ctr"/>
            <a:t>2025-01-10</a:t>
          </a:fld>
          <a:endParaRPr lang="en-US" sz="3200" b="1" i="0" u="none" strike="noStrike" baseline="0">
            <a:solidFill>
              <a:srgbClr val="536493"/>
            </a:solidFill>
            <a:latin typeface="Segoe UI" panose="020F0502020204030204" pitchFamily="34" charset="0"/>
            <a:cs typeface="Segoe UI" panose="020F0502020204030204" pitchFamily="34" charset="0"/>
          </a:endParaRPr>
        </a:p>
      </xdr:txBody>
    </xdr:sp>
    <xdr:clientData/>
  </xdr:twoCellAnchor>
  <xdr:twoCellAnchor>
    <xdr:from>
      <xdr:col>2</xdr:col>
      <xdr:colOff>551180</xdr:colOff>
      <xdr:row>9</xdr:row>
      <xdr:rowOff>180975</xdr:rowOff>
    </xdr:from>
    <xdr:to>
      <xdr:col>3</xdr:col>
      <xdr:colOff>556260</xdr:colOff>
      <xdr:row>12</xdr:row>
      <xdr:rowOff>136525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1732280" y="1895475"/>
          <a:ext cx="595630" cy="527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rgbClr val="536493"/>
              </a:solidFill>
            </a:rPr>
            <a:t>Date</a:t>
          </a:r>
        </a:p>
      </xdr:txBody>
    </xdr:sp>
    <xdr:clientData/>
  </xdr:twoCellAnchor>
  <xdr:twoCellAnchor>
    <xdr:from>
      <xdr:col>8</xdr:col>
      <xdr:colOff>580390</xdr:colOff>
      <xdr:row>24</xdr:row>
      <xdr:rowOff>104774</xdr:rowOff>
    </xdr:from>
    <xdr:to>
      <xdr:col>13</xdr:col>
      <xdr:colOff>75141</xdr:colOff>
      <xdr:row>29</xdr:row>
      <xdr:rowOff>47625</xdr:rowOff>
    </xdr:to>
    <xdr:sp macro="" textlink="'Stock watchlsit '!E3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5304790" y="4676774"/>
          <a:ext cx="2504651" cy="895351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E4DAB854-059D-4B83-978B-C4621B4CD585}" type="TxLink">
            <a:rPr lang="en-US" sz="2400" b="1" i="0" u="none" strike="noStrike" baseline="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Calibri"/>
            </a:rPr>
            <a:pPr algn="ctr"/>
            <a:t>-0.0207</a:t>
          </a:fld>
          <a:endParaRPr lang="en-CA" sz="24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581025</xdr:colOff>
      <xdr:row>30</xdr:row>
      <xdr:rowOff>41396</xdr:rowOff>
    </xdr:from>
    <xdr:to>
      <xdr:col>13</xdr:col>
      <xdr:colOff>75776</xdr:colOff>
      <xdr:row>35</xdr:row>
      <xdr:rowOff>28575</xdr:rowOff>
    </xdr:to>
    <xdr:sp macro="" textlink="'Stock watchlsit '!E14">
      <xdr:nvSpPr>
        <xdr:cNvPr id="36" name="Rectangle: Rounded Corners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305425" y="5756396"/>
          <a:ext cx="2504651" cy="939679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B05E576A-37D4-4CCD-BCF0-EFDA64E0C920}" type="TxLink">
            <a:rPr lang="en-US" sz="2400" b="0" i="0" u="none" strike="noStrike" baseline="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Calibri"/>
            </a:rPr>
            <a:pPr algn="ctr"/>
            <a:t>0.0194</a:t>
          </a:fld>
          <a:endParaRPr lang="en-CA" sz="24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462884</xdr:colOff>
      <xdr:row>18</xdr:row>
      <xdr:rowOff>139794</xdr:rowOff>
    </xdr:from>
    <xdr:to>
      <xdr:col>12</xdr:col>
      <xdr:colOff>152399</xdr:colOff>
      <xdr:row>20</xdr:row>
      <xdr:rowOff>180975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5777834" y="3568794"/>
          <a:ext cx="1518315" cy="422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BTC -</a:t>
          </a:r>
          <a:r>
            <a:rPr lang="en-US" sz="2000" b="1" baseline="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 CAD</a:t>
          </a:r>
          <a:endParaRPr lang="en-US" sz="20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9</xdr:col>
      <xdr:colOff>542290</xdr:colOff>
      <xdr:row>20</xdr:row>
      <xdr:rowOff>53980</xdr:rowOff>
    </xdr:from>
    <xdr:to>
      <xdr:col>12</xdr:col>
      <xdr:colOff>74960</xdr:colOff>
      <xdr:row>24</xdr:row>
      <xdr:rowOff>13246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5857240" y="3863980"/>
          <a:ext cx="1361470" cy="7212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rgbClr val="536493"/>
              </a:solidFill>
            </a:rPr>
            <a:t>(Change in %)</a:t>
          </a:r>
        </a:p>
      </xdr:txBody>
    </xdr:sp>
    <xdr:clientData/>
  </xdr:twoCellAnchor>
  <xdr:twoCellAnchor>
    <xdr:from>
      <xdr:col>9</xdr:col>
      <xdr:colOff>386684</xdr:colOff>
      <xdr:row>24</xdr:row>
      <xdr:rowOff>54069</xdr:rowOff>
    </xdr:from>
    <xdr:to>
      <xdr:col>12</xdr:col>
      <xdr:colOff>152399</xdr:colOff>
      <xdr:row>26</xdr:row>
      <xdr:rowOff>95250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5701634" y="4626069"/>
          <a:ext cx="1594515" cy="422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ETH - CAD</a:t>
          </a:r>
        </a:p>
      </xdr:txBody>
    </xdr:sp>
    <xdr:clientData/>
  </xdr:twoCellAnchor>
  <xdr:twoCellAnchor>
    <xdr:from>
      <xdr:col>9</xdr:col>
      <xdr:colOff>475615</xdr:colOff>
      <xdr:row>25</xdr:row>
      <xdr:rowOff>187330</xdr:rowOff>
    </xdr:from>
    <xdr:to>
      <xdr:col>12</xdr:col>
      <xdr:colOff>8285</xdr:colOff>
      <xdr:row>29</xdr:row>
      <xdr:rowOff>146596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5790565" y="4949830"/>
          <a:ext cx="1361470" cy="7212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rgbClr val="536493"/>
              </a:solidFill>
            </a:rPr>
            <a:t>(Change in %)</a:t>
          </a:r>
        </a:p>
      </xdr:txBody>
    </xdr:sp>
    <xdr:clientData/>
  </xdr:twoCellAnchor>
  <xdr:twoCellAnchor>
    <xdr:from>
      <xdr:col>9</xdr:col>
      <xdr:colOff>339059</xdr:colOff>
      <xdr:row>29</xdr:row>
      <xdr:rowOff>177805</xdr:rowOff>
    </xdr:from>
    <xdr:to>
      <xdr:col>12</xdr:col>
      <xdr:colOff>257174</xdr:colOff>
      <xdr:row>32</xdr:row>
      <xdr:rowOff>28486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5654009" y="5702305"/>
          <a:ext cx="1746915" cy="422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SHIB</a:t>
          </a:r>
          <a:r>
            <a:rPr lang="en-US" sz="2000" b="1" baseline="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 - CAD</a:t>
          </a:r>
          <a:endParaRPr lang="en-US" sz="20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9</xdr:col>
      <xdr:colOff>542290</xdr:colOff>
      <xdr:row>31</xdr:row>
      <xdr:rowOff>120566</xdr:rowOff>
    </xdr:from>
    <xdr:to>
      <xdr:col>12</xdr:col>
      <xdr:colOff>74960</xdr:colOff>
      <xdr:row>35</xdr:row>
      <xdr:rowOff>79832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5857240" y="6026066"/>
          <a:ext cx="1361470" cy="7212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rgbClr val="536493"/>
              </a:solidFill>
            </a:rPr>
            <a:t>(Change in %)</a:t>
          </a:r>
        </a:p>
      </xdr:txBody>
    </xdr:sp>
    <xdr:clientData/>
  </xdr:twoCellAnchor>
  <xdr:twoCellAnchor>
    <xdr:from>
      <xdr:col>13</xdr:col>
      <xdr:colOff>180974</xdr:colOff>
      <xdr:row>19</xdr:row>
      <xdr:rowOff>0</xdr:rowOff>
    </xdr:from>
    <xdr:to>
      <xdr:col>17</xdr:col>
      <xdr:colOff>361949</xdr:colOff>
      <xdr:row>23</xdr:row>
      <xdr:rowOff>152400</xdr:rowOff>
    </xdr:to>
    <xdr:sp macro="[0]!Refresh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915274" y="3619500"/>
          <a:ext cx="2543175" cy="914400"/>
        </a:xfrm>
        <a:prstGeom prst="roundRect">
          <a:avLst/>
        </a:prstGeom>
        <a:solidFill>
          <a:srgbClr val="FFF1D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Refresh Stocks</a:t>
          </a:r>
        </a:p>
      </xdr:txBody>
    </xdr:sp>
    <xdr:clientData/>
  </xdr:twoCellAnchor>
  <xdr:twoCellAnchor>
    <xdr:from>
      <xdr:col>13</xdr:col>
      <xdr:colOff>145415</xdr:colOff>
      <xdr:row>4</xdr:row>
      <xdr:rowOff>50801</xdr:rowOff>
    </xdr:from>
    <xdr:to>
      <xdr:col>17</xdr:col>
      <xdr:colOff>287866</xdr:colOff>
      <xdr:row>8</xdr:row>
      <xdr:rowOff>31751</xdr:rowOff>
    </xdr:to>
    <xdr:sp macro="" textlink="$S$1">
      <xdr:nvSpPr>
        <xdr:cNvPr id="45" name="Rectangle: Rounded Corners 44">
          <a:extLst>
            <a:ext uri="{FF2B5EF4-FFF2-40B4-BE49-F238E27FC236}">
              <a16:creationId xmlns:a16="http://schemas.microsoft.com/office/drawing/2014/main" id="{F88DE719-D1B3-47C5-96CD-894DFBA22002}"/>
            </a:ext>
          </a:extLst>
        </xdr:cNvPr>
        <xdr:cNvSpPr/>
      </xdr:nvSpPr>
      <xdr:spPr>
        <a:xfrm>
          <a:off x="8959215" y="812801"/>
          <a:ext cx="2834851" cy="742950"/>
        </a:xfrm>
        <a:prstGeom prst="roundRect">
          <a:avLst>
            <a:gd name="adj" fmla="val 2968"/>
          </a:avLst>
        </a:prstGeom>
        <a:noFill/>
        <a:ln>
          <a:noFill/>
        </a:ln>
        <a:effectLst>
          <a:outerShdw blurRad="50800" dist="38100" dir="5400000" algn="t" rotWithShape="0">
            <a:prstClr val="black">
              <a:alpha val="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40D68794-FCEF-457A-96FA-9F0CE68A920D}" type="TxLink">
            <a:rPr lang="en-US" sz="2000" b="1" i="0" u="none" strike="noStrike" baseline="0">
              <a:solidFill>
                <a:srgbClr val="536493"/>
              </a:solidFill>
              <a:latin typeface="Calibri"/>
              <a:ea typeface="Calibri"/>
              <a:cs typeface="Calibri"/>
            </a:rPr>
            <a:pPr algn="ctr"/>
            <a:t>9.76%</a:t>
          </a:fld>
          <a:endParaRPr lang="en-CA" sz="80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146050</xdr:colOff>
      <xdr:row>9</xdr:row>
      <xdr:rowOff>60325</xdr:rowOff>
    </xdr:from>
    <xdr:to>
      <xdr:col>17</xdr:col>
      <xdr:colOff>288501</xdr:colOff>
      <xdr:row>13</xdr:row>
      <xdr:rowOff>41274</xdr:rowOff>
    </xdr:to>
    <xdr:sp macro="" textlink="$S$2">
      <xdr:nvSpPr>
        <xdr:cNvPr id="46" name="Rectangle: Rounded Corners 45">
          <a:extLst>
            <a:ext uri="{FF2B5EF4-FFF2-40B4-BE49-F238E27FC236}">
              <a16:creationId xmlns:a16="http://schemas.microsoft.com/office/drawing/2014/main" id="{6B7055AF-04FE-4E27-961C-454D0B742150}"/>
            </a:ext>
          </a:extLst>
        </xdr:cNvPr>
        <xdr:cNvSpPr/>
      </xdr:nvSpPr>
      <xdr:spPr>
        <a:xfrm>
          <a:off x="8959850" y="1774825"/>
          <a:ext cx="2834851" cy="742949"/>
        </a:xfrm>
        <a:prstGeom prst="roundRect">
          <a:avLst>
            <a:gd name="adj" fmla="val 2968"/>
          </a:avLst>
        </a:prstGeom>
        <a:noFill/>
        <a:ln>
          <a:noFill/>
        </a:ln>
        <a:effectLst>
          <a:outerShdw blurRad="50800" dist="38100" dir="5400000" algn="t" rotWithShape="0">
            <a:prstClr val="black">
              <a:alpha val="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DDA8E447-2CC9-402B-BAA2-53B3A9BE2B39}" type="TxLink">
            <a:rPr lang="en-US" sz="2000" b="1" i="0" u="none" strike="noStrike" baseline="0">
              <a:solidFill>
                <a:srgbClr val="536493"/>
              </a:solidFill>
              <a:latin typeface="Calibri"/>
              <a:ea typeface="Calibri"/>
              <a:cs typeface="Calibri"/>
            </a:rPr>
            <a:pPr algn="ctr"/>
            <a:t>8.80%</a:t>
          </a:fld>
          <a:endParaRPr lang="en-CA" sz="80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126365</xdr:colOff>
      <xdr:row>14</xdr:row>
      <xdr:rowOff>6350</xdr:rowOff>
    </xdr:from>
    <xdr:to>
      <xdr:col>17</xdr:col>
      <xdr:colOff>268816</xdr:colOff>
      <xdr:row>17</xdr:row>
      <xdr:rowOff>130176</xdr:rowOff>
    </xdr:to>
    <xdr:sp macro="" textlink="$S$3">
      <xdr:nvSpPr>
        <xdr:cNvPr id="47" name="Rectangle: Rounded Corners 46">
          <a:extLst>
            <a:ext uri="{FF2B5EF4-FFF2-40B4-BE49-F238E27FC236}">
              <a16:creationId xmlns:a16="http://schemas.microsoft.com/office/drawing/2014/main" id="{B0EA7450-92FA-4BBF-8885-14CCE8120497}"/>
            </a:ext>
          </a:extLst>
        </xdr:cNvPr>
        <xdr:cNvSpPr/>
      </xdr:nvSpPr>
      <xdr:spPr>
        <a:xfrm>
          <a:off x="8940165" y="2673350"/>
          <a:ext cx="2834851" cy="695326"/>
        </a:xfrm>
        <a:prstGeom prst="roundRect">
          <a:avLst>
            <a:gd name="adj" fmla="val 2968"/>
          </a:avLst>
        </a:prstGeom>
        <a:noFill/>
        <a:ln>
          <a:noFill/>
        </a:ln>
        <a:effectLst>
          <a:outerShdw blurRad="50800" dist="38100" dir="5400000" algn="t" rotWithShape="0">
            <a:prstClr val="black">
              <a:alpha val="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EAF0AF69-4092-4F75-9079-BCDEC5ADBA84}" type="TxLink">
            <a:rPr lang="en-US" sz="2000" b="1" i="0" u="none" strike="noStrike" baseline="0">
              <a:solidFill>
                <a:srgbClr val="536493"/>
              </a:solidFill>
              <a:latin typeface="Calibri"/>
              <a:ea typeface="Calibri"/>
              <a:cs typeface="Calibri"/>
            </a:rPr>
            <a:pPr algn="ctr"/>
            <a:t>8.77%</a:t>
          </a:fld>
          <a:endParaRPr lang="en-CA" sz="80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155575</xdr:colOff>
      <xdr:row>4</xdr:row>
      <xdr:rowOff>152400</xdr:rowOff>
    </xdr:from>
    <xdr:to>
      <xdr:col>17</xdr:col>
      <xdr:colOff>307975</xdr:colOff>
      <xdr:row>6</xdr:row>
      <xdr:rowOff>142875</xdr:rowOff>
    </xdr:to>
    <xdr:sp macro="" textlink="$A$43">
      <xdr:nvSpPr>
        <xdr:cNvPr id="48" name="Rectangle: Rounded Corners 47">
          <a:extLst>
            <a:ext uri="{FF2B5EF4-FFF2-40B4-BE49-F238E27FC236}">
              <a16:creationId xmlns:a16="http://schemas.microsoft.com/office/drawing/2014/main" id="{A3531E75-94AD-4B54-AC37-09F251F4E91E}"/>
            </a:ext>
          </a:extLst>
        </xdr:cNvPr>
        <xdr:cNvSpPr/>
      </xdr:nvSpPr>
      <xdr:spPr>
        <a:xfrm>
          <a:off x="8969375" y="914400"/>
          <a:ext cx="2844800" cy="371475"/>
        </a:xfrm>
        <a:prstGeom prst="roundRect">
          <a:avLst>
            <a:gd name="adj" fmla="val 2968"/>
          </a:avLst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4D0A842B-D5DC-4757-B787-9DB56EDEE4BC}" type="TxLink">
            <a:rPr lang="en-US" sz="1800" b="1" i="0" u="none" strike="noStrike" baseline="0">
              <a:solidFill>
                <a:srgbClr val="536493"/>
              </a:solidFill>
              <a:latin typeface="Calibri"/>
              <a:ea typeface="Calibri"/>
              <a:cs typeface="Calibri"/>
            </a:rPr>
            <a:pPr algn="ctr"/>
            <a:t>Supplements</a:t>
          </a:fld>
          <a:endParaRPr lang="en-CA" sz="199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145415</xdr:colOff>
      <xdr:row>14</xdr:row>
      <xdr:rowOff>66675</xdr:rowOff>
    </xdr:from>
    <xdr:to>
      <xdr:col>17</xdr:col>
      <xdr:colOff>287866</xdr:colOff>
      <xdr:row>16</xdr:row>
      <xdr:rowOff>57150</xdr:rowOff>
    </xdr:to>
    <xdr:sp macro="" textlink="$D$43">
      <xdr:nvSpPr>
        <xdr:cNvPr id="50" name="Rectangle: Rounded Corners 49">
          <a:extLst>
            <a:ext uri="{FF2B5EF4-FFF2-40B4-BE49-F238E27FC236}">
              <a16:creationId xmlns:a16="http://schemas.microsoft.com/office/drawing/2014/main" id="{04EBE1C3-9697-4CC9-9233-9182EE65FD9F}"/>
            </a:ext>
          </a:extLst>
        </xdr:cNvPr>
        <xdr:cNvSpPr/>
      </xdr:nvSpPr>
      <xdr:spPr>
        <a:xfrm>
          <a:off x="8959215" y="2733675"/>
          <a:ext cx="2834851" cy="371475"/>
        </a:xfrm>
        <a:prstGeom prst="roundRect">
          <a:avLst>
            <a:gd name="adj" fmla="val 2968"/>
          </a:avLst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BA5AEDD5-2277-4DD9-82DD-77C76D0B9CD2}" type="TxLink">
            <a:rPr lang="en-US" sz="1800" b="1" i="0" u="none" strike="noStrike" baseline="0">
              <a:solidFill>
                <a:srgbClr val="536493"/>
              </a:solidFill>
              <a:latin typeface="Calibri"/>
              <a:ea typeface="Calibri"/>
              <a:cs typeface="Calibri"/>
            </a:rPr>
            <a:pPr algn="ctr"/>
            <a:t>Car Payments</a:t>
          </a:fld>
          <a:endParaRPr lang="en-CA" sz="72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88900</xdr:colOff>
      <xdr:row>9</xdr:row>
      <xdr:rowOff>161925</xdr:rowOff>
    </xdr:from>
    <xdr:to>
      <xdr:col>17</xdr:col>
      <xdr:colOff>241300</xdr:colOff>
      <xdr:row>11</xdr:row>
      <xdr:rowOff>152400</xdr:rowOff>
    </xdr:to>
    <xdr:sp macro="" textlink="$C$43">
      <xdr:nvSpPr>
        <xdr:cNvPr id="51" name="Rectangle: Rounded Corners 50">
          <a:extLst>
            <a:ext uri="{FF2B5EF4-FFF2-40B4-BE49-F238E27FC236}">
              <a16:creationId xmlns:a16="http://schemas.microsoft.com/office/drawing/2014/main" id="{3005F936-F599-4983-9E34-10D1309F0ABB}"/>
            </a:ext>
          </a:extLst>
        </xdr:cNvPr>
        <xdr:cNvSpPr/>
      </xdr:nvSpPr>
      <xdr:spPr>
        <a:xfrm>
          <a:off x="8902700" y="1876425"/>
          <a:ext cx="2844800" cy="371475"/>
        </a:xfrm>
        <a:prstGeom prst="roundRect">
          <a:avLst>
            <a:gd name="adj" fmla="val 2968"/>
          </a:avLst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B79AE537-C5DF-4E7D-B196-626650955B0F}" type="TxLink">
            <a:rPr lang="en-US" sz="1800" b="1" i="0" u="none" strike="noStrike" baseline="0">
              <a:solidFill>
                <a:srgbClr val="536493"/>
              </a:solidFill>
              <a:latin typeface="Calibri"/>
              <a:ea typeface="Calibri"/>
              <a:cs typeface="Calibri"/>
            </a:rPr>
            <a:pPr algn="ctr"/>
            <a:t>Bills</a:t>
          </a:fld>
          <a:endParaRPr lang="en-CA" sz="199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209550</xdr:colOff>
      <xdr:row>24</xdr:row>
      <xdr:rowOff>123826</xdr:rowOff>
    </xdr:from>
    <xdr:to>
      <xdr:col>17</xdr:col>
      <xdr:colOff>352001</xdr:colOff>
      <xdr:row>29</xdr:row>
      <xdr:rowOff>66676</xdr:rowOff>
    </xdr:to>
    <xdr:sp macro="" textlink="'Stock watchlsit '!D8">
      <xdr:nvSpPr>
        <xdr:cNvPr id="52" name="Rectangle: Rounded Corners 51">
          <a:extLst>
            <a:ext uri="{FF2B5EF4-FFF2-40B4-BE49-F238E27FC236}">
              <a16:creationId xmlns:a16="http://schemas.microsoft.com/office/drawing/2014/main" id="{1DDBB07C-F072-4C52-9DC6-9EEED2B342FA}"/>
            </a:ext>
          </a:extLst>
        </xdr:cNvPr>
        <xdr:cNvSpPr/>
      </xdr:nvSpPr>
      <xdr:spPr>
        <a:xfrm>
          <a:off x="7943850" y="4695826"/>
          <a:ext cx="2504651" cy="895350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EF4794CC-34CC-4D9C-97A1-B169CE76C941}" type="TxLink">
            <a:rPr lang="en-US" sz="2400" b="0" i="0" u="none" strike="noStrike" baseline="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Calibri"/>
            </a:rPr>
            <a:pPr algn="ctr"/>
            <a:t>-0.005121</a:t>
          </a:fld>
          <a:endParaRPr lang="en-CA" sz="48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19049</xdr:colOff>
      <xdr:row>24</xdr:row>
      <xdr:rowOff>85724</xdr:rowOff>
    </xdr:from>
    <xdr:to>
      <xdr:col>16</xdr:col>
      <xdr:colOff>581025</xdr:colOff>
      <xdr:row>26</xdr:row>
      <xdr:rowOff>165965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8B1FC85-BB85-41BA-80B9-571362788968}"/>
            </a:ext>
          </a:extLst>
        </xdr:cNvPr>
        <xdr:cNvSpPr txBox="1"/>
      </xdr:nvSpPr>
      <xdr:spPr>
        <a:xfrm>
          <a:off x="8343899" y="4657724"/>
          <a:ext cx="1743076" cy="4612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200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DOGE - CAD</a:t>
          </a:r>
          <a:endParaRPr lang="en-CA" sz="2400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14</xdr:col>
      <xdr:colOff>371475</xdr:colOff>
      <xdr:row>26</xdr:row>
      <xdr:rowOff>28576</xdr:rowOff>
    </xdr:from>
    <xdr:to>
      <xdr:col>16</xdr:col>
      <xdr:colOff>238125</xdr:colOff>
      <xdr:row>27</xdr:row>
      <xdr:rowOff>100350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BBDEA997-AE83-4409-BB40-3EB40333F0A4}"/>
            </a:ext>
          </a:extLst>
        </xdr:cNvPr>
        <xdr:cNvSpPr txBox="1"/>
      </xdr:nvSpPr>
      <xdr:spPr>
        <a:xfrm>
          <a:off x="8696325" y="4981576"/>
          <a:ext cx="1047750" cy="2622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>
              <a:solidFill>
                <a:srgbClr val="536493"/>
              </a:solidFill>
              <a:latin typeface="+mn-lt"/>
              <a:ea typeface="Segoe UI Black" panose="020B0A02040204020203" pitchFamily="34" charset="0"/>
            </a:rPr>
            <a:t>(Change</a:t>
          </a:r>
          <a:r>
            <a:rPr lang="en-CA" sz="1100" b="1" baseline="0">
              <a:solidFill>
                <a:srgbClr val="536493"/>
              </a:solidFill>
              <a:latin typeface="+mn-lt"/>
              <a:ea typeface="Segoe UI Black" panose="020B0A02040204020203" pitchFamily="34" charset="0"/>
            </a:rPr>
            <a:t> in %)</a:t>
          </a:r>
          <a:endParaRPr lang="en-CA" sz="1100" b="1">
            <a:solidFill>
              <a:srgbClr val="536493"/>
            </a:solidFill>
            <a:latin typeface="+mn-lt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13</xdr:col>
      <xdr:colOff>171450</xdr:colOff>
      <xdr:row>30</xdr:row>
      <xdr:rowOff>47625</xdr:rowOff>
    </xdr:from>
    <xdr:to>
      <xdr:col>17</xdr:col>
      <xdr:colOff>313901</xdr:colOff>
      <xdr:row>35</xdr:row>
      <xdr:rowOff>38100</xdr:rowOff>
    </xdr:to>
    <xdr:sp macro="" textlink="'Stock watchlsit '!E25">
      <xdr:nvSpPr>
        <xdr:cNvPr id="55" name="Rectangle: Rounded Corners 54">
          <a:extLst>
            <a:ext uri="{FF2B5EF4-FFF2-40B4-BE49-F238E27FC236}">
              <a16:creationId xmlns:a16="http://schemas.microsoft.com/office/drawing/2014/main" id="{60FEE2C2-2EBB-4664-AA56-CBF66209363E}"/>
            </a:ext>
          </a:extLst>
        </xdr:cNvPr>
        <xdr:cNvSpPr/>
      </xdr:nvSpPr>
      <xdr:spPr>
        <a:xfrm>
          <a:off x="7905750" y="5762625"/>
          <a:ext cx="2504651" cy="942975"/>
        </a:xfrm>
        <a:prstGeom prst="roundRect">
          <a:avLst>
            <a:gd name="adj" fmla="val 2968"/>
          </a:avLst>
        </a:prstGeom>
        <a:solidFill>
          <a:srgbClr val="FFF1DB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EA71D11-4D5A-4A9F-8FDE-8F41D624088E}" type="TxLink">
            <a:rPr lang="en-US" sz="2400" b="0" i="0" u="none" strike="noStrike" baseline="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Calibri"/>
            </a:rPr>
            <a:pPr algn="ctr"/>
            <a:t>0.0813</a:t>
          </a:fld>
          <a:endParaRPr lang="en-CA" sz="8800" b="1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180974</xdr:colOff>
      <xdr:row>30</xdr:row>
      <xdr:rowOff>19049</xdr:rowOff>
    </xdr:from>
    <xdr:to>
      <xdr:col>16</xdr:col>
      <xdr:colOff>514350</xdr:colOff>
      <xdr:row>32</xdr:row>
      <xdr:rowOff>123824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3C8D73F2-AE21-4D79-B3E1-C532CFF2E2D0}"/>
            </a:ext>
          </a:extLst>
        </xdr:cNvPr>
        <xdr:cNvSpPr txBox="1"/>
      </xdr:nvSpPr>
      <xdr:spPr>
        <a:xfrm>
          <a:off x="8505824" y="5734049"/>
          <a:ext cx="1514476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2000">
              <a:solidFill>
                <a:srgbClr val="536493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FET - CAD</a:t>
          </a:r>
          <a:endParaRPr lang="en-CA" sz="2400">
            <a:solidFill>
              <a:srgbClr val="536493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14</xdr:col>
      <xdr:colOff>361950</xdr:colOff>
      <xdr:row>31</xdr:row>
      <xdr:rowOff>142875</xdr:rowOff>
    </xdr:from>
    <xdr:to>
      <xdr:col>16</xdr:col>
      <xdr:colOff>228600</xdr:colOff>
      <xdr:row>33</xdr:row>
      <xdr:rowOff>38100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4C67671F-2D74-4200-A2E3-3F2ECAAB3623}"/>
            </a:ext>
          </a:extLst>
        </xdr:cNvPr>
        <xdr:cNvSpPr txBox="1"/>
      </xdr:nvSpPr>
      <xdr:spPr>
        <a:xfrm>
          <a:off x="8686800" y="6048375"/>
          <a:ext cx="10477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>
              <a:solidFill>
                <a:srgbClr val="536493"/>
              </a:solidFill>
              <a:latin typeface="+mn-lt"/>
              <a:ea typeface="Segoe UI Black" panose="020B0A02040204020203" pitchFamily="34" charset="0"/>
            </a:rPr>
            <a:t>(Change</a:t>
          </a:r>
          <a:r>
            <a:rPr lang="en-CA" sz="1100" b="1" baseline="0">
              <a:solidFill>
                <a:srgbClr val="536493"/>
              </a:solidFill>
              <a:latin typeface="+mn-lt"/>
              <a:ea typeface="Segoe UI Black" panose="020B0A02040204020203" pitchFamily="34" charset="0"/>
            </a:rPr>
            <a:t> in %)</a:t>
          </a:r>
          <a:endParaRPr lang="en-CA" sz="1100" b="1">
            <a:solidFill>
              <a:srgbClr val="536493"/>
            </a:solidFill>
            <a:latin typeface="+mn-lt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15</xdr:col>
      <xdr:colOff>25400</xdr:colOff>
      <xdr:row>3</xdr:row>
      <xdr:rowOff>63500</xdr:rowOff>
    </xdr:from>
    <xdr:to>
      <xdr:col>15</xdr:col>
      <xdr:colOff>292100</xdr:colOff>
      <xdr:row>5</xdr:row>
      <xdr:rowOff>101600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E0A85A18-131D-6138-EE84-64FE1F10718F}"/>
            </a:ext>
          </a:extLst>
        </xdr:cNvPr>
        <xdr:cNvSpPr txBox="1"/>
      </xdr:nvSpPr>
      <xdr:spPr>
        <a:xfrm>
          <a:off x="10185400" y="635000"/>
          <a:ext cx="2667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 u="none">
              <a:solidFill>
                <a:srgbClr val="536493"/>
              </a:solidFill>
            </a:rPr>
            <a:t>1</a:t>
          </a:r>
        </a:p>
      </xdr:txBody>
    </xdr:sp>
    <xdr:clientData/>
  </xdr:twoCellAnchor>
  <xdr:twoCellAnchor>
    <xdr:from>
      <xdr:col>14</xdr:col>
      <xdr:colOff>660400</xdr:colOff>
      <xdr:row>8</xdr:row>
      <xdr:rowOff>76200</xdr:rowOff>
    </xdr:from>
    <xdr:to>
      <xdr:col>15</xdr:col>
      <xdr:colOff>482600</xdr:colOff>
      <xdr:row>11</xdr:row>
      <xdr:rowOff>127000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C9E053FA-C005-6B58-EF7E-D63DC31F1012}"/>
            </a:ext>
          </a:extLst>
        </xdr:cNvPr>
        <xdr:cNvSpPr txBox="1"/>
      </xdr:nvSpPr>
      <xdr:spPr>
        <a:xfrm>
          <a:off x="10147300" y="1600200"/>
          <a:ext cx="495300" cy="622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rgbClr val="536493"/>
              </a:solidFill>
            </a:rPr>
            <a:t>2</a:t>
          </a:r>
        </a:p>
      </xdr:txBody>
    </xdr:sp>
    <xdr:clientData/>
  </xdr:twoCellAnchor>
  <xdr:twoCellAnchor>
    <xdr:from>
      <xdr:col>15</xdr:col>
      <xdr:colOff>25400</xdr:colOff>
      <xdr:row>13</xdr:row>
      <xdr:rowOff>12700</xdr:rowOff>
    </xdr:from>
    <xdr:to>
      <xdr:col>15</xdr:col>
      <xdr:colOff>546100</xdr:colOff>
      <xdr:row>16</xdr:row>
      <xdr:rowOff>12700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EC0A9AF7-7A82-86C6-DC01-1A548105A324}"/>
            </a:ext>
          </a:extLst>
        </xdr:cNvPr>
        <xdr:cNvSpPr txBox="1"/>
      </xdr:nvSpPr>
      <xdr:spPr>
        <a:xfrm>
          <a:off x="10185400" y="2489200"/>
          <a:ext cx="52070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rgbClr val="536493"/>
              </a:solidFill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19</xdr:row>
          <xdr:rowOff>38100</xdr:rowOff>
        </xdr:from>
        <xdr:to>
          <xdr:col>12</xdr:col>
          <xdr:colOff>177800</xdr:colOff>
          <xdr:row>22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14</xdr:row>
          <xdr:rowOff>38100</xdr:rowOff>
        </xdr:from>
        <xdr:to>
          <xdr:col>12</xdr:col>
          <xdr:colOff>190500</xdr:colOff>
          <xdr:row>18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298739</xdr:colOff>
      <xdr:row>5</xdr:row>
      <xdr:rowOff>44162</xdr:rowOff>
    </xdr:from>
    <xdr:to>
      <xdr:col>1</xdr:col>
      <xdr:colOff>374939</xdr:colOff>
      <xdr:row>9</xdr:row>
      <xdr:rowOff>180280</xdr:rowOff>
    </xdr:to>
    <xdr:pic>
      <xdr:nvPicPr>
        <xdr:cNvPr id="4" name="Graphic 3" descr="Call cen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98739" y="996662"/>
          <a:ext cx="790575" cy="898118"/>
        </a:xfrm>
        <a:prstGeom prst="rect">
          <a:avLst/>
        </a:prstGeom>
      </xdr:spPr>
    </xdr:pic>
    <xdr:clientData/>
  </xdr:twoCellAnchor>
  <xdr:twoCellAnchor editAs="oneCell">
    <xdr:from>
      <xdr:col>0</xdr:col>
      <xdr:colOff>206952</xdr:colOff>
      <xdr:row>10</xdr:row>
      <xdr:rowOff>113434</xdr:rowOff>
    </xdr:from>
    <xdr:to>
      <xdr:col>1</xdr:col>
      <xdr:colOff>283152</xdr:colOff>
      <xdr:row>15</xdr:row>
      <xdr:rowOff>27221</xdr:rowOff>
    </xdr:to>
    <xdr:pic>
      <xdr:nvPicPr>
        <xdr:cNvPr id="5" name="Graphic 4" descr="Databa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6952" y="2018434"/>
          <a:ext cx="790575" cy="894862"/>
        </a:xfrm>
        <a:prstGeom prst="rect">
          <a:avLst/>
        </a:prstGeom>
      </xdr:spPr>
    </xdr:pic>
    <xdr:clientData/>
  </xdr:twoCellAnchor>
  <xdr:twoCellAnchor editAs="oneCell">
    <xdr:from>
      <xdr:col>0</xdr:col>
      <xdr:colOff>243321</xdr:colOff>
      <xdr:row>20</xdr:row>
      <xdr:rowOff>83127</xdr:rowOff>
    </xdr:from>
    <xdr:to>
      <xdr:col>1</xdr:col>
      <xdr:colOff>319521</xdr:colOff>
      <xdr:row>25</xdr:row>
      <xdr:rowOff>28745</xdr:rowOff>
    </xdr:to>
    <xdr:pic>
      <xdr:nvPicPr>
        <xdr:cNvPr id="6" name="Graphic 5" descr="Bullsey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43321" y="4178877"/>
          <a:ext cx="790575" cy="898118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14</xdr:row>
      <xdr:rowOff>146338</xdr:rowOff>
    </xdr:from>
    <xdr:to>
      <xdr:col>1</xdr:col>
      <xdr:colOff>323850</xdr:colOff>
      <xdr:row>19</xdr:row>
      <xdr:rowOff>93584</xdr:rowOff>
    </xdr:to>
    <xdr:pic>
      <xdr:nvPicPr>
        <xdr:cNvPr id="7" name="Graphic 6" descr="Mone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47650" y="3099088"/>
          <a:ext cx="790575" cy="899746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1</xdr:row>
      <xdr:rowOff>180975</xdr:rowOff>
    </xdr:from>
    <xdr:ext cx="1409700" cy="561949"/>
    <xdr:sp macro="[0]!dashboarddd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371475"/>
          <a:ext cx="1409700" cy="5619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000" b="0" cap="none" spc="0">
              <a:ln w="0"/>
              <a:solidFill>
                <a:srgbClr val="53649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KL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104775</xdr:rowOff>
    </xdr:from>
    <xdr:to>
      <xdr:col>1</xdr:col>
      <xdr:colOff>152400</xdr:colOff>
      <xdr:row>12</xdr:row>
      <xdr:rowOff>66675</xdr:rowOff>
    </xdr:to>
    <xdr:pic>
      <xdr:nvPicPr>
        <xdr:cNvPr id="14" name="Graphic 13" descr="Call cen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1450" y="14382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12</xdr:row>
      <xdr:rowOff>171450</xdr:rowOff>
    </xdr:from>
    <xdr:to>
      <xdr:col>1</xdr:col>
      <xdr:colOff>152400</xdr:colOff>
      <xdr:row>17</xdr:row>
      <xdr:rowOff>133350</xdr:rowOff>
    </xdr:to>
    <xdr:pic>
      <xdr:nvPicPr>
        <xdr:cNvPr id="15" name="Graphic 14" descr="Databa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" y="24574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23</xdr:row>
      <xdr:rowOff>171450</xdr:rowOff>
    </xdr:from>
    <xdr:to>
      <xdr:col>1</xdr:col>
      <xdr:colOff>142875</xdr:colOff>
      <xdr:row>28</xdr:row>
      <xdr:rowOff>133350</xdr:rowOff>
    </xdr:to>
    <xdr:pic>
      <xdr:nvPicPr>
        <xdr:cNvPr id="16" name="Graphic 15" descr="Bullsey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1925" y="45529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17</xdr:row>
      <xdr:rowOff>180975</xdr:rowOff>
    </xdr:from>
    <xdr:to>
      <xdr:col>1</xdr:col>
      <xdr:colOff>133350</xdr:colOff>
      <xdr:row>22</xdr:row>
      <xdr:rowOff>142875</xdr:rowOff>
    </xdr:to>
    <xdr:pic>
      <xdr:nvPicPr>
        <xdr:cNvPr id="17" name="Graphic 16" descr="Mone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" y="3419475"/>
          <a:ext cx="914400" cy="914400"/>
        </a:xfrm>
        <a:prstGeom prst="rect">
          <a:avLst/>
        </a:prstGeom>
      </xdr:spPr>
    </xdr:pic>
    <xdr:clientData/>
  </xdr:twoCellAnchor>
  <xdr:oneCellAnchor>
    <xdr:from>
      <xdr:col>0</xdr:col>
      <xdr:colOff>57150</xdr:colOff>
      <xdr:row>1</xdr:row>
      <xdr:rowOff>171450</xdr:rowOff>
    </xdr:from>
    <xdr:ext cx="1123949" cy="561949"/>
    <xdr:sp macro="[0]!dashboarddd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150" y="361950"/>
          <a:ext cx="1123949" cy="5619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000" b="0" cap="none" spc="0">
              <a:ln w="0"/>
              <a:solidFill>
                <a:srgbClr val="53649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KL</a:t>
          </a:r>
        </a:p>
      </xdr:txBody>
    </xdr:sp>
    <xdr:clientData/>
  </xdr:oneCellAnchor>
  <xdr:twoCellAnchor>
    <xdr:from>
      <xdr:col>4</xdr:col>
      <xdr:colOff>265044</xdr:colOff>
      <xdr:row>0</xdr:row>
      <xdr:rowOff>57978</xdr:rowOff>
    </xdr:from>
    <xdr:to>
      <xdr:col>6</xdr:col>
      <xdr:colOff>298174</xdr:colOff>
      <xdr:row>3</xdr:row>
      <xdr:rowOff>182215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371022" y="57978"/>
          <a:ext cx="1258956" cy="695737"/>
        </a:xfrm>
        <a:prstGeom prst="rect">
          <a:avLst/>
        </a:prstGeom>
        <a:solidFill>
          <a:srgbClr val="D4BDAC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800">
              <a:solidFill>
                <a:srgbClr val="536493"/>
              </a:solidFill>
            </a:rPr>
            <a:t>Assign Goal</a:t>
          </a:r>
          <a:endParaRPr lang="en-CA" sz="1800" baseline="0">
            <a:solidFill>
              <a:srgbClr val="536493"/>
            </a:solidFill>
          </a:endParaRPr>
        </a:p>
      </xdr:txBody>
    </xdr:sp>
    <xdr:clientData/>
  </xdr:twoCellAnchor>
  <xdr:twoCellAnchor>
    <xdr:from>
      <xdr:col>10</xdr:col>
      <xdr:colOff>49697</xdr:colOff>
      <xdr:row>0</xdr:row>
      <xdr:rowOff>57977</xdr:rowOff>
    </xdr:from>
    <xdr:to>
      <xdr:col>12</xdr:col>
      <xdr:colOff>99392</xdr:colOff>
      <xdr:row>4</xdr:row>
      <xdr:rowOff>16564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181023" y="57977"/>
          <a:ext cx="1275521" cy="720587"/>
        </a:xfrm>
        <a:prstGeom prst="roundRect">
          <a:avLst/>
        </a:prstGeom>
        <a:solidFill>
          <a:srgbClr val="D4BDAC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>
              <a:solidFill>
                <a:srgbClr val="536493"/>
              </a:solidFill>
            </a:rPr>
            <a:t>Update</a:t>
          </a:r>
          <a:r>
            <a:rPr lang="en-CA" sz="1800" baseline="0">
              <a:solidFill>
                <a:srgbClr val="536493"/>
              </a:solidFill>
            </a:rPr>
            <a:t> Savings</a:t>
          </a:r>
          <a:endParaRPr lang="en-CA" sz="1800">
            <a:solidFill>
              <a:srgbClr val="536493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3</xdr:row>
          <xdr:rowOff>0</xdr:rowOff>
        </xdr:from>
        <xdr:to>
          <xdr:col>4</xdr:col>
          <xdr:colOff>292100</xdr:colOff>
          <xdr:row>4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0</xdr:row>
          <xdr:rowOff>76200</xdr:rowOff>
        </xdr:from>
        <xdr:to>
          <xdr:col>4</xdr:col>
          <xdr:colOff>292100</xdr:colOff>
          <xdr:row>2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142874</xdr:colOff>
      <xdr:row>6</xdr:row>
      <xdr:rowOff>114299</xdr:rowOff>
    </xdr:from>
    <xdr:to>
      <xdr:col>0</xdr:col>
      <xdr:colOff>952499</xdr:colOff>
      <xdr:row>10</xdr:row>
      <xdr:rowOff>161924</xdr:rowOff>
    </xdr:to>
    <xdr:pic>
      <xdr:nvPicPr>
        <xdr:cNvPr id="9" name="Graphic 8" descr="Call cen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2874" y="12572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142874</xdr:colOff>
      <xdr:row>11</xdr:row>
      <xdr:rowOff>180974</xdr:rowOff>
    </xdr:from>
    <xdr:to>
      <xdr:col>0</xdr:col>
      <xdr:colOff>952499</xdr:colOff>
      <xdr:row>16</xdr:row>
      <xdr:rowOff>38099</xdr:rowOff>
    </xdr:to>
    <xdr:pic>
      <xdr:nvPicPr>
        <xdr:cNvPr id="10" name="Graphic 9" descr="Databa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2874" y="22764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22</xdr:row>
      <xdr:rowOff>180974</xdr:rowOff>
    </xdr:from>
    <xdr:to>
      <xdr:col>0</xdr:col>
      <xdr:colOff>942974</xdr:colOff>
      <xdr:row>27</xdr:row>
      <xdr:rowOff>38099</xdr:rowOff>
    </xdr:to>
    <xdr:pic>
      <xdr:nvPicPr>
        <xdr:cNvPr id="11" name="Graphic 10" descr="Bullsey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3349" y="43719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123824</xdr:colOff>
      <xdr:row>16</xdr:row>
      <xdr:rowOff>190499</xdr:rowOff>
    </xdr:from>
    <xdr:to>
      <xdr:col>0</xdr:col>
      <xdr:colOff>933449</xdr:colOff>
      <xdr:row>21</xdr:row>
      <xdr:rowOff>47624</xdr:rowOff>
    </xdr:to>
    <xdr:pic>
      <xdr:nvPicPr>
        <xdr:cNvPr id="12" name="Graphic 11" descr="Mone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23824" y="3238499"/>
          <a:ext cx="809625" cy="809625"/>
        </a:xfrm>
        <a:prstGeom prst="rect">
          <a:avLst/>
        </a:prstGeom>
      </xdr:spPr>
    </xdr:pic>
    <xdr:clientData/>
  </xdr:twoCellAnchor>
  <xdr:oneCellAnchor>
    <xdr:from>
      <xdr:col>0</xdr:col>
      <xdr:colOff>57150</xdr:colOff>
      <xdr:row>1</xdr:row>
      <xdr:rowOff>171450</xdr:rowOff>
    </xdr:from>
    <xdr:ext cx="1123949" cy="561949"/>
    <xdr:sp macro="[0]!dashboarddd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7150" y="361950"/>
          <a:ext cx="1123949" cy="5619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000" b="0" cap="none" spc="0">
              <a:ln w="0"/>
              <a:solidFill>
                <a:srgbClr val="53649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KL</a:t>
          </a:r>
        </a:p>
      </xdr:txBody>
    </xdr:sp>
    <xdr:clientData/>
  </xdr:oneCellAnchor>
  <xdr:twoCellAnchor>
    <xdr:from>
      <xdr:col>10</xdr:col>
      <xdr:colOff>622193</xdr:colOff>
      <xdr:row>5</xdr:row>
      <xdr:rowOff>39807</xdr:rowOff>
    </xdr:from>
    <xdr:to>
      <xdr:col>16</xdr:col>
      <xdr:colOff>364991</xdr:colOff>
      <xdr:row>19</xdr:row>
      <xdr:rowOff>93595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</xdr:row>
          <xdr:rowOff>0</xdr:rowOff>
        </xdr:from>
        <xdr:to>
          <xdr:col>7</xdr:col>
          <xdr:colOff>546100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142874</xdr:colOff>
      <xdr:row>6</xdr:row>
      <xdr:rowOff>114299</xdr:rowOff>
    </xdr:from>
    <xdr:to>
      <xdr:col>0</xdr:col>
      <xdr:colOff>952499</xdr:colOff>
      <xdr:row>10</xdr:row>
      <xdr:rowOff>161924</xdr:rowOff>
    </xdr:to>
    <xdr:pic>
      <xdr:nvPicPr>
        <xdr:cNvPr id="3" name="Graphic 2" descr="Call cen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2874" y="12572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142874</xdr:colOff>
      <xdr:row>11</xdr:row>
      <xdr:rowOff>180974</xdr:rowOff>
    </xdr:from>
    <xdr:to>
      <xdr:col>0</xdr:col>
      <xdr:colOff>952499</xdr:colOff>
      <xdr:row>16</xdr:row>
      <xdr:rowOff>38099</xdr:rowOff>
    </xdr:to>
    <xdr:pic>
      <xdr:nvPicPr>
        <xdr:cNvPr id="4" name="Graphic 3" descr="Databas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2874" y="22764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22</xdr:row>
      <xdr:rowOff>180974</xdr:rowOff>
    </xdr:from>
    <xdr:to>
      <xdr:col>0</xdr:col>
      <xdr:colOff>942974</xdr:colOff>
      <xdr:row>27</xdr:row>
      <xdr:rowOff>38099</xdr:rowOff>
    </xdr:to>
    <xdr:pic>
      <xdr:nvPicPr>
        <xdr:cNvPr id="5" name="Graphic 4" descr="Bullsey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3349" y="43719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123824</xdr:colOff>
      <xdr:row>16</xdr:row>
      <xdr:rowOff>190499</xdr:rowOff>
    </xdr:from>
    <xdr:to>
      <xdr:col>0</xdr:col>
      <xdr:colOff>933449</xdr:colOff>
      <xdr:row>21</xdr:row>
      <xdr:rowOff>47624</xdr:rowOff>
    </xdr:to>
    <xdr:pic>
      <xdr:nvPicPr>
        <xdr:cNvPr id="6" name="Graphic 5" descr="Mone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23824" y="3238499"/>
          <a:ext cx="809625" cy="809625"/>
        </a:xfrm>
        <a:prstGeom prst="rect">
          <a:avLst/>
        </a:prstGeom>
      </xdr:spPr>
    </xdr:pic>
    <xdr:clientData/>
  </xdr:twoCellAnchor>
  <xdr:oneCellAnchor>
    <xdr:from>
      <xdr:col>0</xdr:col>
      <xdr:colOff>28575</xdr:colOff>
      <xdr:row>1</xdr:row>
      <xdr:rowOff>171450</xdr:rowOff>
    </xdr:from>
    <xdr:ext cx="1123949" cy="561949"/>
    <xdr:sp macro="[0]!dashboarddd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575" y="361950"/>
          <a:ext cx="1123949" cy="5619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000" b="0" cap="none" spc="0">
              <a:ln w="0"/>
              <a:solidFill>
                <a:srgbClr val="53649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KL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31E5DC8-623E-4C53-B091-CF74CD32595C}" autoFormatId="16" applyNumberFormats="0" applyBorderFormats="0" applyFontFormats="0" applyPatternFormats="0" applyAlignmentFormats="0" applyWidthHeightFormats="0">
  <queryTableRefresh nextId="13">
    <queryTableFields count="12">
      <queryTableField id="1" name="Symbol" tableColumnId="1"/>
      <queryTableField id="2" name="Name" tableColumnId="2"/>
      <queryTableField id="3" name="Price (Intraday)" tableColumnId="3"/>
      <queryTableField id="4" name="Change" tableColumnId="4"/>
      <queryTableField id="5" name="% Change" tableColumnId="5"/>
      <queryTableField id="6" name="Market Cap" tableColumnId="6"/>
      <queryTableField id="7" name="Volume in Currency (Since 0:00 UTC)" tableColumnId="7"/>
      <queryTableField id="8" name="Volume in Currency (24Hr)" tableColumnId="8"/>
      <queryTableField id="9" name="Total Volume All Currencies (24Hr)" tableColumnId="9"/>
      <queryTableField id="10" name="Circulating Supply" tableColumnId="10"/>
      <queryTableField id="11" name="52 Week Range" tableColumnId="11"/>
      <queryTableField id="12" name="Day Char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EFD9FF-3A74-4B47-A5CF-F4ADB1074C8D}" name="Table1" displayName="Table1" ref="A1:E36" totalsRowShown="0">
  <autoFilter ref="A1:E36" xr:uid="{71EFD9FF-3A74-4B47-A5CF-F4ADB1074C8D}"/>
  <tableColumns count="5">
    <tableColumn id="1" xr3:uid="{A9338488-6E45-4BA1-A285-9ED781D52638}" name="Date"/>
    <tableColumn id="2" xr3:uid="{0208410E-B1CB-44A8-8894-C90FC863FFDA}" name="Item"/>
    <tableColumn id="3" xr3:uid="{9D533BDC-6D8C-49E4-A18B-B3F9280F7C81}" name="Category"/>
    <tableColumn id="4" xr3:uid="{AFBBCA76-956F-4CBD-9730-C42BEC34FC1F}" name="Description"/>
    <tableColumn id="5" xr3:uid="{56ACED9D-412B-4848-A903-210F12168E42}" name="Mone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71F04EE-5EC8-45B4-A12A-BADC7B87FE4F}" name="Table_0" displayName="Table_0" ref="A1:L26" tableType="queryTable" totalsRowShown="0">
  <autoFilter ref="A1:L26" xr:uid="{871F04EE-5EC8-45B4-A12A-BADC7B87FE4F}"/>
  <tableColumns count="12">
    <tableColumn id="1" xr3:uid="{BBE698DF-2FBA-4D04-A795-36A6023AE3FF}" uniqueName="1" name="Symbol" queryTableFieldId="1" dataDxfId="8"/>
    <tableColumn id="2" xr3:uid="{6A201475-52F3-4C51-896C-75941D4F75E5}" uniqueName="2" name="Name" queryTableFieldId="2" dataDxfId="7"/>
    <tableColumn id="3" xr3:uid="{F89FBB1F-086F-43A8-81D0-8366E6577189}" uniqueName="3" name="Price (Intraday)" queryTableFieldId="3"/>
    <tableColumn id="4" xr3:uid="{D5729D1A-AF26-4712-A9C7-A3FCCB4410C0}" uniqueName="4" name="Change" queryTableFieldId="4"/>
    <tableColumn id="5" xr3:uid="{2E2DA26B-C9BD-49B9-99D0-183AB7044557}" uniqueName="5" name="% Change" queryTableFieldId="5"/>
    <tableColumn id="6" xr3:uid="{4F4C66B9-DA6B-4F93-9976-0372BE40E0DE}" uniqueName="6" name="Market Cap" queryTableFieldId="6" dataDxfId="6"/>
    <tableColumn id="7" xr3:uid="{D9FE274B-A192-4C52-9940-BA62FD6CBA99}" uniqueName="7" name="Volume in Currency (Since 0:00 UTC)" queryTableFieldId="7" dataDxfId="5"/>
    <tableColumn id="8" xr3:uid="{00865661-E504-4ACB-953D-34E39CCD787A}" uniqueName="8" name="Volume in Currency (24Hr)" queryTableFieldId="8" dataDxfId="4"/>
    <tableColumn id="9" xr3:uid="{A2E66960-AD68-46B5-8CEE-530360410B62}" uniqueName="9" name="Total Volume All Currencies (24Hr)" queryTableFieldId="9" dataDxfId="3"/>
    <tableColumn id="10" xr3:uid="{217D527B-9A8D-4385-AADC-86DAEF7538ED}" uniqueName="10" name="Circulating Supply" queryTableFieldId="10" dataDxfId="2"/>
    <tableColumn id="11" xr3:uid="{80B874B3-1E20-4BE6-923A-95362B774233}" uniqueName="11" name="52 Week Range" queryTableFieldId="11" dataDxfId="1"/>
    <tableColumn id="12" xr3:uid="{64290926-F6A4-465D-9D80-A5B84780B527}" uniqueName="12" name="Day Chart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4EFF-822E-4ED5-8E7C-999BE9AF4CB6}">
  <sheetPr codeName="Sheet5"/>
  <dimension ref="A1:S43"/>
  <sheetViews>
    <sheetView zoomScaleNormal="100" workbookViewId="0">
      <selection activeCell="P25" sqref="P25"/>
    </sheetView>
  </sheetViews>
  <sheetFormatPr baseColWidth="10" defaultColWidth="9.1640625" defaultRowHeight="15" x14ac:dyDescent="0.2"/>
  <cols>
    <col min="1" max="9" width="8.83203125" customWidth="1"/>
    <col min="10" max="10" width="9.6640625" customWidth="1"/>
    <col min="11" max="18" width="8.83203125" customWidth="1"/>
  </cols>
  <sheetData>
    <row r="1" spans="1:19" x14ac:dyDescent="0.2">
      <c r="A1" s="3"/>
      <c r="B1" s="3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9">
        <f>MAX('Expenses&amp;Incomes'!M3:M13)</f>
        <v>9.7643097643097629E-2</v>
      </c>
    </row>
    <row r="2" spans="1:19" x14ac:dyDescent="0.2">
      <c r="A2" s="3"/>
      <c r="B2" s="3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9">
        <f>LARGE('Expenses&amp;Incomes'!M3:M13, 2)</f>
        <v>8.8024691358024681E-2</v>
      </c>
    </row>
    <row r="3" spans="1:19" x14ac:dyDescent="0.2">
      <c r="A3" s="3"/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9">
        <f>LARGE('Expenses&amp;Incomes'!M3:M13, 3)</f>
        <v>8.7676767676767672E-2</v>
      </c>
    </row>
    <row r="4" spans="1:19" x14ac:dyDescent="0.2">
      <c r="A4" s="3"/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9" x14ac:dyDescent="0.2">
      <c r="A5" s="3"/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9" x14ac:dyDescent="0.2">
      <c r="A6" s="3"/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9" x14ac:dyDescent="0.2">
      <c r="A7" s="3"/>
      <c r="B7" s="3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19" x14ac:dyDescent="0.2">
      <c r="A8" s="3"/>
      <c r="B8" s="3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1:19" x14ac:dyDescent="0.2">
      <c r="A9" s="3"/>
      <c r="B9" s="3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19" x14ac:dyDescent="0.2">
      <c r="A10" s="3"/>
      <c r="B10" s="3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x14ac:dyDescent="0.2">
      <c r="A11" s="3"/>
      <c r="B11" s="3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19" x14ac:dyDescent="0.2">
      <c r="A12" s="3"/>
      <c r="B12" s="3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1:19" x14ac:dyDescent="0.2">
      <c r="A13" s="3"/>
      <c r="B13" s="3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1:19" x14ac:dyDescent="0.2">
      <c r="A14" s="3"/>
      <c r="B14" s="3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1:19" x14ac:dyDescent="0.2">
      <c r="A15" s="3"/>
      <c r="B15" s="3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9" x14ac:dyDescent="0.2">
      <c r="A16" s="3"/>
      <c r="B16" s="3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1:18" x14ac:dyDescent="0.2">
      <c r="A17" s="3"/>
      <c r="B17" s="3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1:18" x14ac:dyDescent="0.2">
      <c r="A18" s="3"/>
      <c r="B18" s="3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1:18" x14ac:dyDescent="0.2">
      <c r="A19" s="3"/>
      <c r="B19" s="3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x14ac:dyDescent="0.2">
      <c r="A20" s="3"/>
      <c r="B20" s="3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2">
      <c r="A21" s="3"/>
      <c r="B21" s="3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x14ac:dyDescent="0.2">
      <c r="A22" s="3"/>
      <c r="B22" s="3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x14ac:dyDescent="0.2">
      <c r="A23" s="3"/>
      <c r="B23" s="3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18" x14ac:dyDescent="0.2">
      <c r="A24" s="3"/>
      <c r="B24" s="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 x14ac:dyDescent="0.2">
      <c r="A25" s="3"/>
      <c r="B25" s="3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 x14ac:dyDescent="0.2">
      <c r="A26" s="3"/>
      <c r="B26" s="3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 x14ac:dyDescent="0.2">
      <c r="A27" s="3"/>
      <c r="B27" s="3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 x14ac:dyDescent="0.2">
      <c r="A28" s="3"/>
      <c r="B28" s="3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 x14ac:dyDescent="0.2">
      <c r="A29" s="3"/>
      <c r="B29" s="3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 x14ac:dyDescent="0.2">
      <c r="A30" s="3"/>
      <c r="B30" s="3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 x14ac:dyDescent="0.2">
      <c r="A31" s="3"/>
      <c r="B31" s="3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 x14ac:dyDescent="0.2">
      <c r="A32" s="3"/>
      <c r="B32" s="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1:18" x14ac:dyDescent="0.2">
      <c r="A33" s="3"/>
      <c r="B33" s="3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1:18" x14ac:dyDescent="0.2">
      <c r="A34" s="3"/>
      <c r="B34" s="3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1:18" x14ac:dyDescent="0.2">
      <c r="A35" s="3"/>
      <c r="B35" s="3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1:18" x14ac:dyDescent="0.2">
      <c r="A36" s="3"/>
      <c r="B36" s="3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1:18" x14ac:dyDescent="0.2">
      <c r="A37" s="3"/>
      <c r="B37" s="3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1:18" x14ac:dyDescent="0.2">
      <c r="A38" s="3"/>
      <c r="B38" s="3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40" spans="1:18" x14ac:dyDescent="0.2">
      <c r="J40" s="15"/>
    </row>
    <row r="43" spans="1:18" ht="19.5" customHeight="1" x14ac:dyDescent="0.2">
      <c r="A43" s="31" t="str">
        <f>INDEX('Expenses&amp;Incomes'!K3:K13, MATCH(LARGE('Expenses&amp;Incomes'!M3:M13, 1), 'Expenses&amp;Incomes'!M3:M13, 0))</f>
        <v>Supplements</v>
      </c>
      <c r="B43" s="31"/>
      <c r="C43" s="31" t="str">
        <f>INDEX('Expenses&amp;Incomes'!K2:K13, MATCH(LARGE('Expenses&amp;Incomes'!M2:M13, 2), 'Expenses&amp;Incomes'!M2:M13, 0))</f>
        <v>Bills</v>
      </c>
      <c r="D43" s="31" t="str">
        <f>INDEX('Expenses&amp;Incomes'!K2:K13, MATCH(LARGE('Expenses&amp;Incomes'!M2:M13, 3), 'Expenses&amp;Incomes'!M2:M13, 0))</f>
        <v>Car Payments</v>
      </c>
    </row>
  </sheetData>
  <dataValidations count="1">
    <dataValidation type="time" allowBlank="1" showInputMessage="1" showErrorMessage="1" sqref="J41" xr:uid="{E260F4BF-EE84-F64A-9B0E-FDBB16A218F8}">
      <formula1>NOW()</formula1>
      <formula2>NOW()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zoomScaleNormal="100" workbookViewId="0"/>
  </sheetViews>
  <sheetFormatPr baseColWidth="10" defaultColWidth="8.83203125" defaultRowHeight="15" x14ac:dyDescent="0.2"/>
  <cols>
    <col min="1" max="1" width="10.6640625" customWidth="1"/>
    <col min="2" max="2" width="8.6640625" customWidth="1"/>
    <col min="3" max="3" width="14" customWidth="1"/>
    <col min="4" max="4" width="17.33203125" customWidth="1"/>
    <col min="5" max="5" width="30.33203125" style="1" customWidth="1"/>
    <col min="6" max="6" width="27.6640625" customWidth="1"/>
    <col min="7" max="7" width="9.83203125" bestFit="1" customWidth="1"/>
    <col min="11" max="11" width="15.33203125" customWidth="1"/>
    <col min="12" max="12" width="11.6640625" customWidth="1"/>
    <col min="13" max="13" width="11.5" customWidth="1"/>
    <col min="15" max="15" width="13.6640625" customWidth="1"/>
    <col min="16" max="16" width="11.83203125" customWidth="1"/>
  </cols>
  <sheetData>
    <row r="1" spans="1:27" x14ac:dyDescent="0.2">
      <c r="A1" s="3"/>
      <c r="B1" s="3"/>
      <c r="C1" s="26" t="s">
        <v>0</v>
      </c>
      <c r="D1" s="26" t="s">
        <v>1</v>
      </c>
      <c r="E1" s="26" t="s">
        <v>2</v>
      </c>
      <c r="F1" s="26" t="s">
        <v>3</v>
      </c>
      <c r="G1" s="26" t="s">
        <v>9</v>
      </c>
      <c r="H1" s="2"/>
      <c r="I1" s="2"/>
      <c r="J1" s="2"/>
      <c r="K1" s="4" t="s">
        <v>2</v>
      </c>
      <c r="L1" s="30" t="s">
        <v>11</v>
      </c>
      <c r="M1" s="7" t="s">
        <v>14</v>
      </c>
      <c r="N1" s="2"/>
      <c r="O1" s="11" t="s">
        <v>20</v>
      </c>
      <c r="P1" s="19" t="s">
        <v>21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x14ac:dyDescent="0.2">
      <c r="A2" s="3"/>
      <c r="B2" s="3"/>
      <c r="C2" s="21">
        <v>44501</v>
      </c>
      <c r="D2" s="5" t="s">
        <v>126</v>
      </c>
      <c r="E2" s="6" t="s">
        <v>126</v>
      </c>
      <c r="F2" s="5" t="s">
        <v>127</v>
      </c>
      <c r="G2" s="25">
        <v>1000</v>
      </c>
      <c r="H2" s="2"/>
      <c r="I2" s="2"/>
      <c r="J2" s="2"/>
      <c r="K2" s="2" t="s">
        <v>12</v>
      </c>
      <c r="L2" s="9">
        <f>COUNTIF(E3:E37,K2)</f>
        <v>0</v>
      </c>
      <c r="M2" s="8">
        <f>L2/$P$13</f>
        <v>0</v>
      </c>
      <c r="N2" s="2"/>
      <c r="O2" s="6">
        <f>Goals!C2</f>
        <v>20</v>
      </c>
      <c r="P2" s="6">
        <f>Goals!D2</f>
        <v>1000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6" x14ac:dyDescent="0.2">
      <c r="A3" s="3"/>
      <c r="B3" s="3"/>
      <c r="C3" s="23">
        <v>45597</v>
      </c>
      <c r="D3" s="24" t="s">
        <v>106</v>
      </c>
      <c r="E3" s="5" t="s">
        <v>7</v>
      </c>
      <c r="F3" s="24" t="s">
        <v>114</v>
      </c>
      <c r="G3" s="25">
        <v>78.430000000000007</v>
      </c>
      <c r="H3" s="2"/>
      <c r="I3" s="2"/>
      <c r="J3" s="2"/>
      <c r="K3" s="5" t="s">
        <v>7</v>
      </c>
      <c r="L3" s="6">
        <f>INDEX(G2:G100, MATCH(K3, E2:E1000, 0))</f>
        <v>78.430000000000007</v>
      </c>
      <c r="M3" s="20">
        <f t="shared" ref="M3:M13" si="0">L3/$P$12</f>
        <v>8.8024691358024681E-2</v>
      </c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x14ac:dyDescent="0.2">
      <c r="A4" s="3"/>
      <c r="B4" s="3"/>
      <c r="C4" s="21">
        <v>45597</v>
      </c>
      <c r="D4" s="5" t="s">
        <v>122</v>
      </c>
      <c r="E4" s="6" t="s">
        <v>7</v>
      </c>
      <c r="F4" s="5" t="s">
        <v>125</v>
      </c>
      <c r="G4" s="25">
        <v>430</v>
      </c>
      <c r="H4" s="2"/>
      <c r="I4" s="2"/>
      <c r="J4" s="2"/>
      <c r="K4" s="2" t="s">
        <v>10</v>
      </c>
      <c r="L4" s="9">
        <f>INDEX(G2:G100, MATCH(K4, E2:E1000, 0))</f>
        <v>14.45</v>
      </c>
      <c r="M4" s="8">
        <f t="shared" si="0"/>
        <v>1.6217732884399549E-2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6" x14ac:dyDescent="0.2">
      <c r="A5" s="3"/>
      <c r="B5" s="3"/>
      <c r="C5" s="23">
        <v>45598</v>
      </c>
      <c r="D5" s="24" t="s">
        <v>107</v>
      </c>
      <c r="E5" s="5" t="s">
        <v>26</v>
      </c>
      <c r="F5" s="24" t="s">
        <v>115</v>
      </c>
      <c r="G5" s="25">
        <v>10</v>
      </c>
      <c r="H5" s="2"/>
      <c r="I5" s="2"/>
      <c r="J5" s="2"/>
      <c r="K5" s="2" t="s">
        <v>13</v>
      </c>
      <c r="L5" s="9">
        <f>INDEX(G2:G100, MATCH(K5, E2:E1000, 0))</f>
        <v>35</v>
      </c>
      <c r="M5" s="8">
        <f t="shared" si="0"/>
        <v>3.928170594837261E-2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6" x14ac:dyDescent="0.2">
      <c r="A6" s="3"/>
      <c r="B6" s="3"/>
      <c r="C6" s="23">
        <v>45599</v>
      </c>
      <c r="D6" s="24" t="s">
        <v>108</v>
      </c>
      <c r="E6" s="24" t="s">
        <v>31</v>
      </c>
      <c r="F6" s="24" t="s">
        <v>116</v>
      </c>
      <c r="G6" s="25">
        <v>25</v>
      </c>
      <c r="H6" s="2"/>
      <c r="I6" s="2"/>
      <c r="J6" s="2"/>
      <c r="K6" s="2" t="s">
        <v>25</v>
      </c>
      <c r="L6" s="9">
        <f>INDEX(G2:G100, MATCH(K6, E2:E1000, 0))</f>
        <v>53</v>
      </c>
      <c r="M6" s="8">
        <f t="shared" si="0"/>
        <v>5.948372615039281E-2</v>
      </c>
      <c r="N6" s="2"/>
      <c r="O6" s="11" t="s">
        <v>22</v>
      </c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6" x14ac:dyDescent="0.2">
      <c r="A7" s="3"/>
      <c r="B7" s="3"/>
      <c r="C7" s="21">
        <v>45601</v>
      </c>
      <c r="D7" s="24" t="s">
        <v>109</v>
      </c>
      <c r="E7" s="24" t="s">
        <v>10</v>
      </c>
      <c r="F7" s="24" t="s">
        <v>117</v>
      </c>
      <c r="G7" s="25">
        <v>14.45</v>
      </c>
      <c r="H7" s="2"/>
      <c r="I7" s="2"/>
      <c r="J7" s="2"/>
      <c r="K7" s="5" t="s">
        <v>26</v>
      </c>
      <c r="L7" s="6">
        <f>INDEX(G2:G100, MATCH(K7, E2:E1000, 0))</f>
        <v>10</v>
      </c>
      <c r="M7" s="8">
        <f t="shared" si="0"/>
        <v>1.1223344556677889E-2</v>
      </c>
      <c r="N7" s="2"/>
      <c r="O7" s="6">
        <f>P17 *0.1</f>
        <v>100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6" x14ac:dyDescent="0.2">
      <c r="A8" s="3"/>
      <c r="B8" s="3"/>
      <c r="C8" s="23">
        <v>45603</v>
      </c>
      <c r="D8" s="24" t="s">
        <v>123</v>
      </c>
      <c r="E8" s="5" t="s">
        <v>26</v>
      </c>
      <c r="F8" s="24" t="s">
        <v>124</v>
      </c>
      <c r="G8" s="25">
        <v>12</v>
      </c>
      <c r="H8" s="2"/>
      <c r="I8" s="2"/>
      <c r="J8" s="2"/>
      <c r="K8" s="5" t="s">
        <v>27</v>
      </c>
      <c r="L8" s="6">
        <f>INDEX(G2:G100, MATCH(K8, E2:E1000, 0))</f>
        <v>45</v>
      </c>
      <c r="M8" s="8">
        <f t="shared" si="0"/>
        <v>5.0505050505050497E-2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6" x14ac:dyDescent="0.2">
      <c r="A9" s="3"/>
      <c r="B9" s="3"/>
      <c r="C9" s="23">
        <v>45606</v>
      </c>
      <c r="D9" s="24" t="s">
        <v>110</v>
      </c>
      <c r="E9" s="24" t="s">
        <v>29</v>
      </c>
      <c r="F9" s="24" t="s">
        <v>118</v>
      </c>
      <c r="G9" s="25">
        <v>78.12</v>
      </c>
      <c r="H9" s="2"/>
      <c r="I9" s="2"/>
      <c r="J9" s="2"/>
      <c r="K9" s="5" t="s">
        <v>28</v>
      </c>
      <c r="L9" s="6">
        <f>INDEX(G2:G100, MATCH(K9, E2:E1000, 0))</f>
        <v>87</v>
      </c>
      <c r="M9" s="8">
        <f t="shared" si="0"/>
        <v>9.7643097643097629E-2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6" x14ac:dyDescent="0.2">
      <c r="A10" s="3"/>
      <c r="B10" s="3"/>
      <c r="C10" s="23">
        <v>45608</v>
      </c>
      <c r="D10" s="5" t="s">
        <v>111</v>
      </c>
      <c r="E10" s="24" t="s">
        <v>30</v>
      </c>
      <c r="F10" s="24" t="s">
        <v>119</v>
      </c>
      <c r="G10" s="25">
        <v>3</v>
      </c>
      <c r="H10" s="2"/>
      <c r="I10" s="2"/>
      <c r="J10" s="2"/>
      <c r="K10" s="5" t="s">
        <v>29</v>
      </c>
      <c r="L10" s="6">
        <f>INDEX(G2:G100, MATCH(K10, E2:E1000, 0))</f>
        <v>78.12</v>
      </c>
      <c r="M10" s="8">
        <f t="shared" si="0"/>
        <v>8.7676767676767672E-2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6" x14ac:dyDescent="0.2">
      <c r="A11" s="3"/>
      <c r="B11" s="3"/>
      <c r="C11" s="23">
        <v>45611</v>
      </c>
      <c r="D11" s="24" t="s">
        <v>112</v>
      </c>
      <c r="E11" s="24" t="s">
        <v>32</v>
      </c>
      <c r="F11" s="24" t="s">
        <v>120</v>
      </c>
      <c r="G11" s="25">
        <v>20</v>
      </c>
      <c r="H11" s="2"/>
      <c r="I11" s="2"/>
      <c r="J11" s="2"/>
      <c r="K11" s="5" t="s">
        <v>30</v>
      </c>
      <c r="L11" s="6">
        <f>INDEX(G2:G100, MATCH(K11, E2:E1000, 0))</f>
        <v>3</v>
      </c>
      <c r="M11" s="8">
        <f t="shared" si="0"/>
        <v>3.3670033670033664E-3</v>
      </c>
      <c r="N11" s="2"/>
      <c r="O11" s="5"/>
      <c r="P11" s="7" t="s">
        <v>15</v>
      </c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7.25" customHeight="1" x14ac:dyDescent="0.2">
      <c r="A12" s="3"/>
      <c r="B12" s="3"/>
      <c r="C12" s="23">
        <v>45613</v>
      </c>
      <c r="D12" s="24" t="s">
        <v>113</v>
      </c>
      <c r="E12" s="5" t="s">
        <v>13</v>
      </c>
      <c r="F12" s="24" t="s">
        <v>121</v>
      </c>
      <c r="G12" s="25">
        <v>35</v>
      </c>
      <c r="H12" s="2"/>
      <c r="I12" s="2"/>
      <c r="J12" s="2"/>
      <c r="K12" s="5" t="s">
        <v>31</v>
      </c>
      <c r="L12" s="6">
        <f>INDEX(G2:G100, MATCH(K12, E2:E1000, 0))</f>
        <v>25</v>
      </c>
      <c r="M12" s="8">
        <f t="shared" si="0"/>
        <v>2.8058361391694722E-2</v>
      </c>
      <c r="N12" s="2"/>
      <c r="O12" s="4" t="s">
        <v>16</v>
      </c>
      <c r="P12" s="9" cm="1">
        <f t="array" ref="P12">SUMPRODUCT((ISNUMBER(SEARCH("Income", E2:E100))=FALSE) * G2:G100)</f>
        <v>891.00000000000011</v>
      </c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6" x14ac:dyDescent="0.2">
      <c r="A13" s="3"/>
      <c r="B13" s="3"/>
      <c r="C13" s="23">
        <v>45614</v>
      </c>
      <c r="D13" s="24" t="s">
        <v>27</v>
      </c>
      <c r="E13" s="24" t="s">
        <v>27</v>
      </c>
      <c r="F13" s="24" t="s">
        <v>128</v>
      </c>
      <c r="G13" s="25">
        <v>45</v>
      </c>
      <c r="H13" s="2"/>
      <c r="I13" s="2"/>
      <c r="J13" s="2"/>
      <c r="K13" s="5" t="s">
        <v>32</v>
      </c>
      <c r="L13" s="6">
        <f>INDEX(G2:G100, MATCH(K13, E2:E1000, 0))</f>
        <v>20</v>
      </c>
      <c r="M13" s="8">
        <f t="shared" si="0"/>
        <v>2.2446689113355778E-2</v>
      </c>
      <c r="N13" s="2"/>
      <c r="O13" s="4" t="s">
        <v>2</v>
      </c>
      <c r="P13" s="2">
        <f>COUNTA(E3:E38)</f>
        <v>13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6" x14ac:dyDescent="0.2">
      <c r="A14" s="3"/>
      <c r="B14" s="3"/>
      <c r="C14" s="23">
        <v>45616</v>
      </c>
      <c r="D14" s="24" t="s">
        <v>25</v>
      </c>
      <c r="E14" s="24" t="s">
        <v>25</v>
      </c>
      <c r="F14" s="24" t="s">
        <v>129</v>
      </c>
      <c r="G14" s="25">
        <v>53</v>
      </c>
      <c r="H14" s="2"/>
      <c r="I14" s="2"/>
      <c r="J14" s="2"/>
      <c r="K14" s="2"/>
      <c r="L14" s="2"/>
      <c r="M14" s="8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ht="16" x14ac:dyDescent="0.2">
      <c r="A15" s="3"/>
      <c r="B15" s="3"/>
      <c r="C15" s="23">
        <v>45617</v>
      </c>
      <c r="D15" s="24" t="s">
        <v>130</v>
      </c>
      <c r="E15" s="24" t="s">
        <v>28</v>
      </c>
      <c r="F15" s="24" t="s">
        <v>131</v>
      </c>
      <c r="G15" s="25">
        <v>87</v>
      </c>
      <c r="H15" s="2"/>
      <c r="I15" s="2"/>
      <c r="J15" s="2"/>
      <c r="K15" s="2"/>
      <c r="L15" s="2"/>
      <c r="M15" s="8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2">
      <c r="A16" s="3"/>
      <c r="B16" s="3"/>
      <c r="C16" s="23"/>
      <c r="D16" s="24"/>
      <c r="E16" s="24"/>
      <c r="F16" s="24"/>
      <c r="G16" s="25"/>
      <c r="H16" s="2"/>
      <c r="I16" s="2"/>
      <c r="J16" s="2"/>
      <c r="K16" s="2"/>
      <c r="L16" s="2"/>
      <c r="M16" s="8"/>
      <c r="N16" s="2"/>
      <c r="O16" s="2"/>
      <c r="P16" s="7" t="s">
        <v>15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3"/>
      <c r="B17" s="3"/>
      <c r="C17" s="23"/>
      <c r="D17" s="24"/>
      <c r="E17" s="24"/>
      <c r="F17" s="24"/>
      <c r="G17" s="25"/>
      <c r="H17" s="2"/>
      <c r="I17" s="2"/>
      <c r="J17" s="2"/>
      <c r="K17" s="2"/>
      <c r="L17" s="2"/>
      <c r="M17" s="8"/>
      <c r="N17" s="2"/>
      <c r="O17" s="4" t="s">
        <v>12</v>
      </c>
      <c r="P17" s="9" cm="1">
        <f t="array" ref="P17">SUMPRODUCT((ISNUMBER(SEARCH("Income", E2:E100))=TRUE) * G2:G100)</f>
        <v>1000</v>
      </c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3"/>
      <c r="B18" s="3"/>
      <c r="C18" s="23"/>
      <c r="D18" s="24"/>
      <c r="E18" s="24"/>
      <c r="F18" s="24"/>
      <c r="G18" s="25"/>
      <c r="H18" s="2"/>
      <c r="I18" s="2"/>
      <c r="J18" s="2"/>
      <c r="K18" s="2"/>
      <c r="L18" s="2"/>
      <c r="M18" s="8"/>
      <c r="N18" s="2"/>
      <c r="O18" s="4" t="s">
        <v>33</v>
      </c>
      <c r="P18" s="9">
        <f>P17-O7</f>
        <v>900</v>
      </c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3"/>
      <c r="B19" s="3"/>
      <c r="C19" s="23"/>
      <c r="D19" s="24"/>
      <c r="E19" s="24"/>
      <c r="F19" s="24"/>
      <c r="G19" s="25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3"/>
      <c r="B20" s="3"/>
      <c r="C20" s="23"/>
      <c r="D20" s="24"/>
      <c r="E20" s="24"/>
      <c r="F20" s="24"/>
      <c r="G20" s="25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3"/>
      <c r="B21" s="3"/>
      <c r="C21" s="23"/>
      <c r="D21" s="24"/>
      <c r="E21" s="24"/>
      <c r="F21" s="24"/>
      <c r="G21" s="25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3"/>
      <c r="B22" s="3"/>
      <c r="C22" s="23"/>
      <c r="D22" s="24"/>
      <c r="E22" s="24"/>
      <c r="F22" s="24"/>
      <c r="G22" s="25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3"/>
      <c r="B23" s="3"/>
      <c r="C23" s="23"/>
      <c r="D23" s="24"/>
      <c r="E23" s="24"/>
      <c r="F23" s="24"/>
      <c r="G23" s="25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3"/>
      <c r="B24" s="3"/>
      <c r="C24" s="23"/>
      <c r="D24" s="24"/>
      <c r="E24" s="24"/>
      <c r="F24" s="24"/>
      <c r="G24" s="25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3"/>
      <c r="B25" s="3"/>
      <c r="C25" s="23"/>
      <c r="D25" s="24"/>
      <c r="E25" s="24"/>
      <c r="F25" s="24"/>
      <c r="G25" s="25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3"/>
      <c r="B26" s="3"/>
      <c r="C26" s="23"/>
      <c r="D26" s="24"/>
      <c r="E26" s="24"/>
      <c r="F26" s="24"/>
      <c r="G26" s="25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3"/>
      <c r="B27" s="3"/>
      <c r="C27" s="23"/>
      <c r="D27" s="24"/>
      <c r="E27" s="24"/>
      <c r="F27" s="24"/>
      <c r="G27" s="25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3"/>
      <c r="B28" s="3"/>
      <c r="C28" s="23"/>
      <c r="D28" s="24"/>
      <c r="E28" s="24"/>
      <c r="F28" s="24"/>
      <c r="G28" s="25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3"/>
      <c r="B29" s="3"/>
      <c r="C29" s="23"/>
      <c r="D29" s="24"/>
      <c r="E29" s="24"/>
      <c r="F29" s="24"/>
      <c r="G29" s="25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3"/>
      <c r="B30" s="3"/>
      <c r="C30" s="23"/>
      <c r="D30" s="24"/>
      <c r="E30" s="24"/>
      <c r="F30" s="24"/>
      <c r="G30" s="25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3"/>
      <c r="B31" s="3"/>
      <c r="C31" s="23"/>
      <c r="D31" s="24"/>
      <c r="E31" s="24"/>
      <c r="F31" s="24"/>
      <c r="G31" s="25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3"/>
      <c r="B32" s="3"/>
      <c r="C32" s="27"/>
      <c r="D32" s="2"/>
      <c r="E32" s="2"/>
      <c r="F32" s="2"/>
      <c r="G32" s="9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3"/>
      <c r="B33" s="3"/>
      <c r="C33" s="12"/>
      <c r="D33" s="2"/>
      <c r="E33" s="2"/>
      <c r="F33" s="2"/>
      <c r="G33" s="9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3"/>
      <c r="B34" s="3"/>
      <c r="C34" s="12"/>
      <c r="D34" s="2"/>
      <c r="E34" s="2"/>
      <c r="F34" s="2"/>
      <c r="G34" s="9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3"/>
      <c r="B35" s="3"/>
      <c r="C35" s="12"/>
      <c r="D35" s="2"/>
      <c r="E35" s="2"/>
      <c r="F35" s="2"/>
      <c r="G35" s="9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3"/>
      <c r="B36" s="3"/>
      <c r="C36" s="12"/>
      <c r="D36" s="2"/>
      <c r="E36" s="2"/>
      <c r="F36" s="2"/>
      <c r="G36" s="9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3"/>
      <c r="B37" s="3"/>
      <c r="C37" s="12"/>
      <c r="D37" s="2"/>
      <c r="E37" s="2"/>
      <c r="F37" s="2"/>
      <c r="G37" s="9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3"/>
      <c r="B38" s="3"/>
      <c r="C38" s="12"/>
      <c r="D38" s="2"/>
      <c r="E38" s="2"/>
      <c r="F38" s="2"/>
      <c r="G38" s="9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10</xdr:col>
                    <xdr:colOff>203200</xdr:colOff>
                    <xdr:row>19</xdr:row>
                    <xdr:rowOff>38100</xdr:rowOff>
                  </from>
                  <to>
                    <xdr:col>12</xdr:col>
                    <xdr:colOff>177800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Item_lick">
                <anchor moveWithCells="1" sizeWithCells="1">
                  <from>
                    <xdr:col>10</xdr:col>
                    <xdr:colOff>114300</xdr:colOff>
                    <xdr:row>14</xdr:row>
                    <xdr:rowOff>38100</xdr:rowOff>
                  </from>
                  <to>
                    <xdr:col>12</xdr:col>
                    <xdr:colOff>190500</xdr:colOff>
                    <xdr:row>18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CE0E8-7C66-4D58-BC7D-7D9E8B93F4A3}">
  <sheetPr codeName="Sheet6"/>
  <dimension ref="A1:E2"/>
  <sheetViews>
    <sheetView workbookViewId="0">
      <selection activeCell="D2" sqref="D2"/>
    </sheetView>
  </sheetViews>
  <sheetFormatPr baseColWidth="10" defaultColWidth="8.83203125" defaultRowHeight="15" x14ac:dyDescent="0.2"/>
  <cols>
    <col min="3" max="3" width="11" customWidth="1"/>
    <col min="4" max="4" width="13.33203125" customWidth="1"/>
    <col min="5" max="5" width="9.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17</v>
      </c>
    </row>
    <row r="2" spans="1:5" x14ac:dyDescent="0.2">
      <c r="A2" s="15">
        <v>45598</v>
      </c>
      <c r="B2" t="s">
        <v>18</v>
      </c>
      <c r="C2" t="s">
        <v>7</v>
      </c>
      <c r="D2" t="s">
        <v>19</v>
      </c>
      <c r="E2">
        <v>23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O38"/>
  <sheetViews>
    <sheetView zoomScale="115" zoomScaleNormal="115" workbookViewId="0"/>
  </sheetViews>
  <sheetFormatPr baseColWidth="10" defaultColWidth="8.83203125" defaultRowHeight="15" x14ac:dyDescent="0.2"/>
  <cols>
    <col min="1" max="1" width="14" bestFit="1" customWidth="1"/>
    <col min="2" max="2" width="4.5" customWidth="1"/>
    <col min="3" max="3" width="13.1640625" customWidth="1"/>
    <col min="4" max="4" width="14" bestFit="1" customWidth="1"/>
    <col min="8" max="8" width="10.83203125" customWidth="1"/>
    <col min="9" max="9" width="15.6640625" customWidth="1"/>
    <col min="14" max="14" width="12.6640625" style="15" customWidth="1"/>
  </cols>
  <sheetData>
    <row r="1" spans="1:15" x14ac:dyDescent="0.2">
      <c r="A1" s="3"/>
      <c r="B1" s="3"/>
      <c r="C1" s="11" t="s">
        <v>20</v>
      </c>
      <c r="D1" s="11" t="s">
        <v>21</v>
      </c>
      <c r="E1" s="5"/>
      <c r="F1" s="5"/>
      <c r="G1" s="5"/>
      <c r="H1" s="11" t="s">
        <v>34</v>
      </c>
      <c r="I1" s="11" t="s">
        <v>22</v>
      </c>
      <c r="J1" s="16"/>
      <c r="K1" s="5"/>
      <c r="L1" s="5"/>
      <c r="M1" s="5"/>
      <c r="N1" s="21"/>
      <c r="O1" s="5"/>
    </row>
    <row r="2" spans="1:15" x14ac:dyDescent="0.2">
      <c r="A2" s="3"/>
      <c r="B2" s="3"/>
      <c r="C2" s="6">
        <v>20</v>
      </c>
      <c r="D2" s="6">
        <v>1000</v>
      </c>
      <c r="E2" s="5"/>
      <c r="F2" s="5"/>
      <c r="G2" s="5"/>
      <c r="H2" s="6">
        <f>'Expenses&amp;Incomes'!O7 + I2</f>
        <v>300</v>
      </c>
      <c r="I2" s="6">
        <v>200</v>
      </c>
      <c r="J2" s="5"/>
      <c r="K2" s="5"/>
      <c r="L2" s="5"/>
      <c r="M2" s="5"/>
      <c r="N2" s="21"/>
      <c r="O2" s="5"/>
    </row>
    <row r="3" spans="1:15" x14ac:dyDescent="0.2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21"/>
      <c r="O3" s="5"/>
    </row>
    <row r="4" spans="1:15" x14ac:dyDescent="0.2">
      <c r="A4" s="3"/>
      <c r="B4" s="3"/>
      <c r="C4" s="5"/>
      <c r="D4" s="5"/>
      <c r="E4" s="5"/>
      <c r="F4" s="5"/>
      <c r="G4" s="5"/>
      <c r="H4" s="5"/>
      <c r="I4" s="4" t="s">
        <v>147</v>
      </c>
      <c r="J4" s="5"/>
      <c r="K4" s="5"/>
      <c r="L4" s="5"/>
      <c r="M4" s="5"/>
      <c r="N4" s="21"/>
      <c r="O4" s="5"/>
    </row>
    <row r="5" spans="1:15" x14ac:dyDescent="0.2">
      <c r="A5" s="3"/>
      <c r="B5" s="3"/>
      <c r="C5" s="5"/>
      <c r="D5" s="5"/>
      <c r="E5" s="5"/>
      <c r="F5" s="5"/>
      <c r="G5" s="5"/>
      <c r="H5" s="5"/>
      <c r="I5" s="28">
        <v>0.1</v>
      </c>
      <c r="J5" s="5"/>
      <c r="K5" s="5"/>
      <c r="L5" s="5"/>
      <c r="M5" s="5"/>
      <c r="N5" s="21"/>
      <c r="O5" s="5"/>
    </row>
    <row r="6" spans="1:15" x14ac:dyDescent="0.2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21"/>
      <c r="O6" s="5"/>
    </row>
    <row r="7" spans="1:15" x14ac:dyDescent="0.2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21"/>
      <c r="O7" s="5"/>
    </row>
    <row r="8" spans="1:15" x14ac:dyDescent="0.2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21"/>
      <c r="O8" s="5"/>
    </row>
    <row r="9" spans="1:15" x14ac:dyDescent="0.2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21"/>
      <c r="O9" s="5"/>
    </row>
    <row r="10" spans="1:15" x14ac:dyDescent="0.2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21"/>
      <c r="O10" s="5"/>
    </row>
    <row r="11" spans="1:15" x14ac:dyDescent="0.2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21"/>
      <c r="O11" s="5"/>
    </row>
    <row r="12" spans="1:15" x14ac:dyDescent="0.2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21"/>
      <c r="O12" s="5"/>
    </row>
    <row r="13" spans="1:15" x14ac:dyDescent="0.2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21"/>
      <c r="O13" s="5"/>
    </row>
    <row r="14" spans="1:15" x14ac:dyDescent="0.2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21"/>
      <c r="O14" s="5"/>
    </row>
    <row r="15" spans="1:15" x14ac:dyDescent="0.2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21"/>
      <c r="O15" s="5"/>
    </row>
    <row r="16" spans="1:15" x14ac:dyDescent="0.2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21"/>
      <c r="O16" s="5"/>
    </row>
    <row r="17" spans="1:15" x14ac:dyDescent="0.2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21"/>
      <c r="O17" s="5"/>
    </row>
    <row r="18" spans="1:15" x14ac:dyDescent="0.2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21"/>
      <c r="O18" s="5"/>
    </row>
    <row r="19" spans="1:15" x14ac:dyDescent="0.2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1"/>
      <c r="O19" s="5"/>
    </row>
    <row r="20" spans="1:15" x14ac:dyDescent="0.2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21"/>
      <c r="O20" s="5"/>
    </row>
    <row r="21" spans="1:15" x14ac:dyDescent="0.2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21"/>
      <c r="O21" s="5"/>
    </row>
    <row r="22" spans="1:15" x14ac:dyDescent="0.2">
      <c r="A22" s="3"/>
      <c r="B22" s="3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21"/>
      <c r="O22" s="5"/>
    </row>
    <row r="23" spans="1:15" x14ac:dyDescent="0.2">
      <c r="A23" s="3"/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21"/>
      <c r="O23" s="5"/>
    </row>
    <row r="24" spans="1:15" x14ac:dyDescent="0.2">
      <c r="A24" s="3"/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21"/>
      <c r="O24" s="5"/>
    </row>
    <row r="25" spans="1:15" x14ac:dyDescent="0.2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21"/>
      <c r="O25" s="5"/>
    </row>
    <row r="26" spans="1:15" x14ac:dyDescent="0.2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21"/>
      <c r="O26" s="5"/>
    </row>
    <row r="27" spans="1:15" x14ac:dyDescent="0.2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21"/>
      <c r="O27" s="5"/>
    </row>
    <row r="28" spans="1:15" x14ac:dyDescent="0.2">
      <c r="A28" s="3"/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21"/>
      <c r="O28" s="5"/>
    </row>
    <row r="29" spans="1:15" x14ac:dyDescent="0.2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21"/>
      <c r="O29" s="5"/>
    </row>
    <row r="30" spans="1:15" x14ac:dyDescent="0.2">
      <c r="A30" s="3"/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21"/>
      <c r="O30" s="5"/>
    </row>
    <row r="31" spans="1:15" x14ac:dyDescent="0.2">
      <c r="A31" s="3"/>
      <c r="B31" s="3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21"/>
      <c r="O31" s="5"/>
    </row>
    <row r="32" spans="1:15" x14ac:dyDescent="0.2">
      <c r="A32" s="3"/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21"/>
      <c r="O32" s="5"/>
    </row>
    <row r="33" spans="1:15" x14ac:dyDescent="0.2">
      <c r="A33" s="3"/>
      <c r="B33" s="3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21"/>
      <c r="O33" s="5"/>
    </row>
    <row r="34" spans="1:15" x14ac:dyDescent="0.2">
      <c r="A34" s="3"/>
      <c r="B34" s="3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21"/>
      <c r="O34" s="5"/>
    </row>
    <row r="35" spans="1:15" x14ac:dyDescent="0.2">
      <c r="A35" s="3"/>
      <c r="B35" s="3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21"/>
      <c r="O35" s="5"/>
    </row>
    <row r="36" spans="1:15" x14ac:dyDescent="0.2">
      <c r="A36" s="3"/>
      <c r="B36" s="3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21"/>
      <c r="O36" s="5"/>
    </row>
    <row r="37" spans="1:15" x14ac:dyDescent="0.2">
      <c r="A37" s="3"/>
      <c r="B37" s="3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21"/>
      <c r="O37" s="5"/>
    </row>
    <row r="38" spans="1:15" x14ac:dyDescent="0.2">
      <c r="A38" s="3"/>
      <c r="B38" s="3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21"/>
      <c r="O38" s="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T38"/>
  <sheetViews>
    <sheetView zoomScale="85" zoomScaleNormal="85" workbookViewId="0">
      <selection activeCell="A20" sqref="A20"/>
    </sheetView>
  </sheetViews>
  <sheetFormatPr baseColWidth="10" defaultColWidth="8.83203125" defaultRowHeight="15" x14ac:dyDescent="0.2"/>
  <cols>
    <col min="1" max="1" width="18.1640625" customWidth="1"/>
    <col min="2" max="2" width="10.6640625" bestFit="1" customWidth="1"/>
    <col min="5" max="5" width="9.33203125" customWidth="1"/>
    <col min="6" max="6" width="12" style="15" customWidth="1"/>
    <col min="7" max="7" width="16" customWidth="1"/>
    <col min="8" max="8" width="18" customWidth="1"/>
    <col min="9" max="9" width="32" customWidth="1"/>
    <col min="10" max="10" width="9.83203125" style="1" customWidth="1"/>
    <col min="11" max="11" width="14.6640625" customWidth="1"/>
    <col min="12" max="12" width="18" customWidth="1"/>
    <col min="20" max="20" width="11" bestFit="1" customWidth="1"/>
  </cols>
  <sheetData>
    <row r="1" spans="1:20" x14ac:dyDescent="0.2">
      <c r="A1" s="3"/>
      <c r="B1" s="10" t="s">
        <v>4</v>
      </c>
      <c r="C1" s="13"/>
      <c r="D1" s="13"/>
      <c r="E1" s="13"/>
      <c r="F1" s="11" t="s">
        <v>0</v>
      </c>
      <c r="G1" s="11" t="s">
        <v>1</v>
      </c>
      <c r="H1" s="11" t="s">
        <v>2</v>
      </c>
      <c r="I1" s="11" t="s">
        <v>3</v>
      </c>
      <c r="J1" s="11" t="s">
        <v>8</v>
      </c>
      <c r="K1" s="11" t="s">
        <v>23</v>
      </c>
      <c r="L1" s="11" t="s">
        <v>24</v>
      </c>
      <c r="M1" s="5"/>
      <c r="N1" s="5"/>
      <c r="O1" s="5"/>
      <c r="P1" s="5"/>
      <c r="Q1" s="5"/>
      <c r="R1" s="5"/>
      <c r="S1" s="5"/>
    </row>
    <row r="2" spans="1:20" x14ac:dyDescent="0.2">
      <c r="A2" s="3"/>
      <c r="B2" s="14">
        <v>45597</v>
      </c>
      <c r="C2" s="13"/>
      <c r="D2" s="13"/>
      <c r="E2" s="14"/>
      <c r="F2" s="14">
        <v>45597</v>
      </c>
      <c r="G2" s="13" t="s">
        <v>106</v>
      </c>
      <c r="H2" s="13" t="s">
        <v>7</v>
      </c>
      <c r="I2" s="13" t="s">
        <v>114</v>
      </c>
      <c r="J2" s="18">
        <v>78.430000000000007</v>
      </c>
      <c r="K2" s="6">
        <f>SUM(J2:J999)</f>
        <v>671.00000000000011</v>
      </c>
      <c r="L2" s="6">
        <f>'Expenses&amp;Incomes'!P12</f>
        <v>891.00000000000011</v>
      </c>
      <c r="M2" s="5"/>
      <c r="N2" s="5"/>
      <c r="O2" s="5"/>
      <c r="P2" s="5"/>
      <c r="Q2" s="5"/>
      <c r="R2" s="5"/>
      <c r="S2" s="5"/>
    </row>
    <row r="3" spans="1:20" x14ac:dyDescent="0.2">
      <c r="A3" s="3"/>
      <c r="B3" s="10" t="s">
        <v>5</v>
      </c>
      <c r="C3" s="13"/>
      <c r="D3" s="13"/>
      <c r="E3" s="14"/>
      <c r="F3" s="14">
        <v>45597</v>
      </c>
      <c r="G3" s="13" t="s">
        <v>122</v>
      </c>
      <c r="H3" s="13" t="s">
        <v>7</v>
      </c>
      <c r="I3" s="13" t="s">
        <v>125</v>
      </c>
      <c r="J3" s="18">
        <v>430</v>
      </c>
      <c r="K3" s="5"/>
      <c r="L3" s="5"/>
      <c r="M3" s="5"/>
      <c r="N3" s="5"/>
      <c r="O3" s="5"/>
      <c r="P3" s="5"/>
      <c r="Q3" s="5"/>
      <c r="R3" s="5"/>
      <c r="S3" s="5"/>
    </row>
    <row r="4" spans="1:20" x14ac:dyDescent="0.2">
      <c r="A4" s="3"/>
      <c r="B4" s="14">
        <v>45611</v>
      </c>
      <c r="C4" s="13"/>
      <c r="D4" s="13"/>
      <c r="E4" s="14"/>
      <c r="F4" s="14">
        <v>45598</v>
      </c>
      <c r="G4" s="13" t="s">
        <v>107</v>
      </c>
      <c r="H4" s="13" t="s">
        <v>26</v>
      </c>
      <c r="I4" s="13" t="s">
        <v>115</v>
      </c>
      <c r="J4" s="18">
        <v>10</v>
      </c>
      <c r="K4" s="5"/>
      <c r="L4" s="5"/>
      <c r="M4" s="5"/>
      <c r="N4" s="5"/>
      <c r="O4" s="5"/>
      <c r="P4" s="5"/>
      <c r="Q4" s="5"/>
      <c r="R4" s="5"/>
      <c r="S4" s="5"/>
    </row>
    <row r="5" spans="1:20" x14ac:dyDescent="0.2">
      <c r="A5" s="3"/>
      <c r="B5" s="5"/>
      <c r="C5" s="5"/>
      <c r="D5" s="5"/>
      <c r="E5" s="17"/>
      <c r="F5" s="21">
        <v>45599</v>
      </c>
      <c r="G5" s="5" t="s">
        <v>108</v>
      </c>
      <c r="H5" s="5" t="s">
        <v>31</v>
      </c>
      <c r="I5" s="5" t="s">
        <v>116</v>
      </c>
      <c r="J5" s="6">
        <v>25</v>
      </c>
      <c r="K5" s="5"/>
      <c r="L5" s="5"/>
      <c r="M5" s="5"/>
      <c r="N5" s="5"/>
      <c r="O5" s="5"/>
      <c r="P5" s="5"/>
      <c r="Q5" s="5"/>
      <c r="R5" s="5"/>
      <c r="S5" s="5"/>
      <c r="T5" s="22">
        <f ca="1">TODAY()</f>
        <v>45667</v>
      </c>
    </row>
    <row r="6" spans="1:20" x14ac:dyDescent="0.2">
      <c r="A6" s="3"/>
      <c r="B6" s="5"/>
      <c r="C6" s="5"/>
      <c r="D6" s="5"/>
      <c r="E6" s="17"/>
      <c r="F6" s="21">
        <v>45601</v>
      </c>
      <c r="G6" s="5" t="s">
        <v>109</v>
      </c>
      <c r="H6" s="5" t="s">
        <v>10</v>
      </c>
      <c r="I6" s="5" t="s">
        <v>117</v>
      </c>
      <c r="J6" s="6">
        <v>14.45</v>
      </c>
      <c r="K6" s="5"/>
      <c r="L6" s="5"/>
      <c r="M6" s="5"/>
      <c r="N6" s="5"/>
      <c r="O6" s="5"/>
      <c r="P6" s="5"/>
      <c r="Q6" s="5"/>
      <c r="R6" s="5"/>
      <c r="S6" s="5"/>
    </row>
    <row r="7" spans="1:20" x14ac:dyDescent="0.2">
      <c r="A7" s="3"/>
      <c r="B7" s="5"/>
      <c r="C7" s="5"/>
      <c r="D7" s="5"/>
      <c r="E7" s="17"/>
      <c r="F7" s="21">
        <v>45603</v>
      </c>
      <c r="G7" s="5" t="s">
        <v>123</v>
      </c>
      <c r="H7" s="5" t="s">
        <v>26</v>
      </c>
      <c r="I7" s="5" t="s">
        <v>124</v>
      </c>
      <c r="J7" s="6">
        <v>12</v>
      </c>
      <c r="K7" s="5"/>
      <c r="L7" s="5"/>
      <c r="M7" s="5"/>
      <c r="N7" s="5"/>
      <c r="O7" s="5"/>
      <c r="P7" s="5"/>
      <c r="Q7" s="5"/>
      <c r="R7" s="5"/>
      <c r="S7" s="5"/>
    </row>
    <row r="8" spans="1:20" x14ac:dyDescent="0.2">
      <c r="A8" s="3"/>
      <c r="B8" s="5"/>
      <c r="C8" s="5"/>
      <c r="D8" s="5"/>
      <c r="E8" s="17"/>
      <c r="F8" s="21">
        <v>45606</v>
      </c>
      <c r="G8" s="5" t="s">
        <v>110</v>
      </c>
      <c r="H8" s="5" t="s">
        <v>29</v>
      </c>
      <c r="I8" s="5" t="s">
        <v>118</v>
      </c>
      <c r="J8" s="6">
        <v>78.12</v>
      </c>
      <c r="K8" s="5"/>
      <c r="L8" s="5"/>
      <c r="M8" s="5"/>
      <c r="N8" s="5"/>
      <c r="O8" s="5"/>
      <c r="P8" s="5"/>
      <c r="Q8" s="5"/>
      <c r="R8" s="5"/>
      <c r="S8" s="5"/>
    </row>
    <row r="9" spans="1:20" x14ac:dyDescent="0.2">
      <c r="A9" s="3"/>
      <c r="B9" s="5"/>
      <c r="C9" s="5"/>
      <c r="D9" s="5"/>
      <c r="E9" s="17"/>
      <c r="F9" s="21">
        <v>45608</v>
      </c>
      <c r="G9" s="5" t="s">
        <v>111</v>
      </c>
      <c r="H9" s="5" t="s">
        <v>30</v>
      </c>
      <c r="I9" s="5" t="s">
        <v>119</v>
      </c>
      <c r="J9" s="6">
        <v>3</v>
      </c>
      <c r="K9" s="5"/>
      <c r="L9" s="5"/>
      <c r="M9" s="5"/>
      <c r="N9" s="5"/>
      <c r="O9" s="5"/>
      <c r="P9" s="5"/>
      <c r="Q9" s="5"/>
      <c r="R9" s="5"/>
      <c r="S9" s="5"/>
    </row>
    <row r="10" spans="1:20" x14ac:dyDescent="0.2">
      <c r="A10" s="3"/>
      <c r="B10" s="5"/>
      <c r="C10" s="5"/>
      <c r="D10" s="5"/>
      <c r="E10" s="17"/>
      <c r="F10" s="21">
        <v>45611</v>
      </c>
      <c r="G10" s="5" t="s">
        <v>112</v>
      </c>
      <c r="H10" s="5" t="s">
        <v>32</v>
      </c>
      <c r="I10" s="5" t="s">
        <v>120</v>
      </c>
      <c r="J10" s="6">
        <v>20</v>
      </c>
      <c r="K10" s="5"/>
      <c r="L10" s="5"/>
      <c r="M10" s="5"/>
      <c r="N10" s="5"/>
      <c r="O10" s="5"/>
      <c r="P10" s="5"/>
      <c r="Q10" s="5"/>
      <c r="R10" s="5"/>
      <c r="S10" s="5"/>
    </row>
    <row r="11" spans="1:20" x14ac:dyDescent="0.2">
      <c r="A11" s="3"/>
      <c r="B11" s="5"/>
      <c r="C11" s="5"/>
      <c r="D11" s="5"/>
      <c r="E11" s="17"/>
      <c r="F11" s="21"/>
      <c r="G11" s="5"/>
      <c r="H11" s="5"/>
      <c r="I11" s="5"/>
      <c r="J11" s="6"/>
      <c r="K11" s="5"/>
      <c r="L11" s="5"/>
      <c r="M11" s="5"/>
      <c r="N11" s="5"/>
      <c r="O11" s="5"/>
      <c r="P11" s="5"/>
      <c r="Q11" s="5"/>
      <c r="R11" s="5"/>
      <c r="S11" s="5"/>
    </row>
    <row r="12" spans="1:20" x14ac:dyDescent="0.2">
      <c r="A12" s="3"/>
      <c r="B12" s="5"/>
      <c r="C12" s="5"/>
      <c r="D12" s="5"/>
      <c r="E12" s="17"/>
      <c r="F12" s="21"/>
      <c r="G12" s="5"/>
      <c r="H12" s="5"/>
      <c r="I12" s="5"/>
      <c r="J12" s="6"/>
      <c r="K12" s="5"/>
      <c r="L12" s="5"/>
      <c r="M12" s="5"/>
      <c r="N12" s="5"/>
      <c r="O12" s="5"/>
      <c r="P12" s="5"/>
      <c r="Q12" s="5"/>
      <c r="R12" s="5"/>
      <c r="S12" s="5"/>
    </row>
    <row r="13" spans="1:20" x14ac:dyDescent="0.2">
      <c r="A13" s="3"/>
      <c r="B13" s="5"/>
      <c r="C13" s="5"/>
      <c r="D13" s="5"/>
      <c r="E13" s="17"/>
      <c r="F13" s="21"/>
      <c r="G13" s="5"/>
      <c r="H13" s="5"/>
      <c r="I13" s="5"/>
      <c r="J13" s="6"/>
      <c r="K13" s="5"/>
      <c r="L13" s="5"/>
      <c r="M13" s="5"/>
      <c r="N13" s="5"/>
      <c r="O13" s="5"/>
      <c r="P13" s="5"/>
      <c r="Q13" s="5"/>
      <c r="R13" s="5"/>
      <c r="S13" s="5"/>
    </row>
    <row r="14" spans="1:20" x14ac:dyDescent="0.2">
      <c r="A14" s="3"/>
      <c r="B14" s="5"/>
      <c r="C14" s="5"/>
      <c r="D14" s="5"/>
      <c r="E14" s="17"/>
      <c r="F14" s="21"/>
      <c r="G14" s="5"/>
      <c r="H14" s="5"/>
      <c r="I14" s="5"/>
      <c r="J14" s="6"/>
      <c r="K14" s="5"/>
      <c r="L14" s="5"/>
      <c r="M14" s="5"/>
      <c r="N14" s="5"/>
      <c r="O14" s="5"/>
      <c r="P14" s="5"/>
      <c r="Q14" s="5"/>
      <c r="R14" s="5"/>
      <c r="S14" s="5"/>
    </row>
    <row r="15" spans="1:20" x14ac:dyDescent="0.2">
      <c r="A15" s="3"/>
      <c r="B15" s="5"/>
      <c r="C15" s="5"/>
      <c r="D15" s="5"/>
      <c r="E15" s="17"/>
      <c r="F15" s="21"/>
      <c r="G15" s="5"/>
      <c r="H15" s="5"/>
      <c r="I15" s="5"/>
      <c r="J15" s="6"/>
      <c r="K15" s="5"/>
      <c r="L15" s="5"/>
      <c r="M15" s="5"/>
      <c r="N15" s="5"/>
      <c r="O15" s="5"/>
      <c r="P15" s="5"/>
      <c r="Q15" s="5"/>
      <c r="R15" s="5"/>
      <c r="S15" s="5"/>
    </row>
    <row r="16" spans="1:20" x14ac:dyDescent="0.2">
      <c r="A16" s="3"/>
      <c r="B16" s="5"/>
      <c r="C16" s="5"/>
      <c r="D16" s="5"/>
      <c r="E16" s="17"/>
      <c r="F16" s="21"/>
      <c r="G16" s="5"/>
      <c r="H16" s="5"/>
      <c r="I16" s="5"/>
      <c r="J16" s="6"/>
      <c r="K16" s="5"/>
      <c r="L16" s="5"/>
      <c r="M16" s="5"/>
      <c r="N16" s="5"/>
      <c r="O16" s="5"/>
      <c r="P16" s="5"/>
      <c r="Q16" s="5"/>
      <c r="R16" s="5"/>
      <c r="S16" s="5"/>
    </row>
    <row r="17" spans="1:19" x14ac:dyDescent="0.2">
      <c r="A17" s="3"/>
      <c r="B17" s="5"/>
      <c r="C17" s="5"/>
      <c r="D17" s="5"/>
      <c r="E17" s="17"/>
      <c r="F17" s="21"/>
      <c r="G17" s="5"/>
      <c r="H17" s="5"/>
      <c r="I17" s="5"/>
      <c r="J17" s="6"/>
      <c r="K17" s="5"/>
      <c r="L17" s="5"/>
      <c r="M17" s="5"/>
      <c r="N17" s="5"/>
      <c r="O17" s="5"/>
      <c r="P17" s="5"/>
      <c r="Q17" s="5"/>
      <c r="R17" s="5"/>
      <c r="S17" s="5"/>
    </row>
    <row r="18" spans="1:19" x14ac:dyDescent="0.2">
      <c r="A18" s="3"/>
      <c r="B18" s="5"/>
      <c r="C18" s="5"/>
      <c r="D18" s="5"/>
      <c r="E18" s="17"/>
      <c r="F18" s="21"/>
      <c r="G18" s="5"/>
      <c r="H18" s="5"/>
      <c r="I18" s="5"/>
      <c r="J18" s="6"/>
      <c r="K18" s="5"/>
      <c r="L18" s="5"/>
      <c r="M18" s="5"/>
      <c r="N18" s="5"/>
      <c r="O18" s="5"/>
      <c r="P18" s="5"/>
      <c r="Q18" s="5"/>
      <c r="R18" s="5"/>
      <c r="S18" s="5"/>
    </row>
    <row r="19" spans="1:19" x14ac:dyDescent="0.2">
      <c r="A19" s="3"/>
      <c r="B19" s="5"/>
      <c r="C19" s="5"/>
      <c r="D19" s="5"/>
      <c r="E19" s="17"/>
      <c r="F19" s="21"/>
      <c r="G19" s="5"/>
      <c r="H19" s="5"/>
      <c r="I19" s="5"/>
      <c r="J19" s="6"/>
      <c r="K19" s="5"/>
      <c r="L19" s="5"/>
      <c r="M19" s="5"/>
      <c r="N19" s="5"/>
      <c r="O19" s="5"/>
      <c r="P19" s="5"/>
      <c r="Q19" s="5"/>
      <c r="R19" s="5"/>
      <c r="S19" s="5"/>
    </row>
    <row r="20" spans="1:19" x14ac:dyDescent="0.2">
      <c r="A20" s="3"/>
      <c r="B20" s="5"/>
      <c r="C20" s="5"/>
      <c r="D20" s="5"/>
      <c r="E20" s="17"/>
      <c r="F20" s="21"/>
      <c r="G20" s="5"/>
      <c r="H20" s="5"/>
      <c r="I20" s="5"/>
      <c r="J20" s="6"/>
      <c r="K20" s="5"/>
      <c r="L20" s="5"/>
      <c r="M20" s="5"/>
      <c r="N20" s="5"/>
      <c r="O20" s="5"/>
      <c r="P20" s="5"/>
      <c r="Q20" s="5"/>
      <c r="R20" s="5"/>
      <c r="S20" s="5"/>
    </row>
    <row r="21" spans="1:19" x14ac:dyDescent="0.2">
      <c r="A21" s="3"/>
      <c r="B21" s="5"/>
      <c r="C21" s="5"/>
      <c r="D21" s="5"/>
      <c r="E21" s="17"/>
      <c r="F21" s="21"/>
      <c r="G21" s="5"/>
      <c r="H21" s="5"/>
      <c r="I21" s="5"/>
      <c r="J21" s="6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2">
      <c r="A22" s="3"/>
      <c r="B22" s="5"/>
      <c r="C22" s="5"/>
      <c r="D22" s="5"/>
      <c r="E22" s="17"/>
      <c r="F22" s="21"/>
      <c r="G22" s="5"/>
      <c r="H22" s="5"/>
      <c r="I22" s="5"/>
      <c r="J22" s="6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2">
      <c r="A23" s="3"/>
      <c r="B23" s="5"/>
      <c r="C23" s="5"/>
      <c r="D23" s="5"/>
      <c r="E23" s="17"/>
      <c r="F23" s="21"/>
      <c r="G23" s="5"/>
      <c r="H23" s="5"/>
      <c r="I23" s="5"/>
      <c r="J23" s="6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2">
      <c r="A24" s="3"/>
      <c r="B24" s="5"/>
      <c r="C24" s="5"/>
      <c r="D24" s="5"/>
      <c r="E24" s="17"/>
      <c r="F24" s="21"/>
      <c r="G24" s="5"/>
      <c r="H24" s="5"/>
      <c r="I24" s="5"/>
      <c r="J24" s="6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2">
      <c r="A25" s="3"/>
      <c r="B25" s="5"/>
      <c r="C25" s="5"/>
      <c r="D25" s="5"/>
      <c r="E25" s="17"/>
      <c r="F25" s="21"/>
      <c r="G25" s="5"/>
      <c r="H25" s="5"/>
      <c r="I25" s="5"/>
      <c r="J25" s="6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2">
      <c r="A26" s="3"/>
      <c r="B26" s="5"/>
      <c r="C26" s="5"/>
      <c r="D26" s="5"/>
      <c r="E26" s="17"/>
      <c r="F26" s="21"/>
      <c r="G26" s="5"/>
      <c r="H26" s="5"/>
      <c r="I26" s="5"/>
      <c r="J26" s="6"/>
      <c r="K26" s="5"/>
      <c r="L26" s="5"/>
      <c r="M26" s="5"/>
      <c r="N26" s="5"/>
      <c r="O26" s="5"/>
      <c r="P26" s="5"/>
      <c r="Q26" s="5"/>
      <c r="R26" s="5"/>
      <c r="S26" s="5"/>
    </row>
    <row r="27" spans="1:19" x14ac:dyDescent="0.2">
      <c r="A27" s="3"/>
      <c r="B27" s="5"/>
      <c r="C27" s="5"/>
      <c r="D27" s="5"/>
      <c r="E27" s="17"/>
      <c r="F27" s="21"/>
      <c r="G27" s="5"/>
      <c r="H27" s="5"/>
      <c r="I27" s="5"/>
      <c r="J27" s="6"/>
      <c r="K27" s="5"/>
      <c r="L27" s="5"/>
      <c r="M27" s="5"/>
      <c r="N27" s="5"/>
      <c r="O27" s="5"/>
      <c r="P27" s="5"/>
      <c r="Q27" s="5"/>
      <c r="R27" s="5"/>
      <c r="S27" s="5"/>
    </row>
    <row r="28" spans="1:19" x14ac:dyDescent="0.2">
      <c r="A28" s="3"/>
      <c r="B28" s="5"/>
      <c r="C28" s="5"/>
      <c r="D28" s="5"/>
      <c r="E28" s="17"/>
      <c r="F28" s="21"/>
      <c r="G28" s="5"/>
      <c r="H28" s="5"/>
      <c r="I28" s="5"/>
      <c r="J28" s="6"/>
      <c r="K28" s="5"/>
      <c r="L28" s="5"/>
      <c r="M28" s="5"/>
      <c r="N28" s="5"/>
      <c r="O28" s="5"/>
      <c r="P28" s="5"/>
      <c r="Q28" s="5"/>
      <c r="R28" s="5"/>
      <c r="S28" s="5"/>
    </row>
    <row r="29" spans="1:19" x14ac:dyDescent="0.2">
      <c r="A29" s="3"/>
      <c r="B29" s="5"/>
      <c r="C29" s="5"/>
      <c r="D29" s="5"/>
      <c r="E29" s="17"/>
      <c r="F29" s="21"/>
      <c r="G29" s="5"/>
      <c r="H29" s="5"/>
      <c r="I29" s="5"/>
      <c r="J29" s="6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2">
      <c r="A30" s="3"/>
      <c r="B30" s="5"/>
      <c r="C30" s="5"/>
      <c r="D30" s="5"/>
      <c r="E30" s="17"/>
      <c r="F30" s="21"/>
      <c r="G30" s="5"/>
      <c r="H30" s="5"/>
      <c r="I30" s="5"/>
      <c r="J30" s="6"/>
      <c r="K30" s="5"/>
      <c r="L30" s="5"/>
      <c r="M30" s="5"/>
      <c r="N30" s="5"/>
      <c r="O30" s="5"/>
      <c r="P30" s="5"/>
      <c r="Q30" s="5"/>
      <c r="R30" s="5"/>
      <c r="S30" s="5"/>
    </row>
    <row r="31" spans="1:19" x14ac:dyDescent="0.2">
      <c r="A31" s="3"/>
      <c r="B31" s="5"/>
      <c r="C31" s="5"/>
      <c r="D31" s="5"/>
      <c r="E31" s="17"/>
      <c r="F31" s="21"/>
      <c r="G31" s="5"/>
      <c r="H31" s="5"/>
      <c r="I31" s="5"/>
      <c r="J31" s="6"/>
      <c r="K31" s="5"/>
      <c r="L31" s="5"/>
      <c r="M31" s="5"/>
      <c r="N31" s="5"/>
      <c r="O31" s="5"/>
      <c r="P31" s="5"/>
      <c r="Q31" s="5"/>
      <c r="R31" s="5"/>
      <c r="S31" s="5"/>
    </row>
    <row r="32" spans="1:19" x14ac:dyDescent="0.2">
      <c r="A32" s="3"/>
      <c r="B32" s="5"/>
      <c r="C32" s="5"/>
      <c r="D32" s="5"/>
      <c r="E32" s="5"/>
      <c r="F32" s="21"/>
      <c r="G32" s="5"/>
      <c r="H32" s="5"/>
      <c r="I32" s="5"/>
      <c r="J32" s="6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2">
      <c r="A33" s="3"/>
      <c r="B33" s="5"/>
      <c r="C33" s="5"/>
      <c r="D33" s="5"/>
      <c r="E33" s="5"/>
      <c r="F33" s="21"/>
      <c r="G33" s="5"/>
      <c r="H33" s="5"/>
      <c r="I33" s="5"/>
      <c r="J33" s="6"/>
      <c r="K33" s="5"/>
      <c r="L33" s="5"/>
      <c r="M33" s="5"/>
      <c r="N33" s="5"/>
      <c r="O33" s="5"/>
      <c r="P33" s="5"/>
      <c r="Q33" s="5"/>
      <c r="R33" s="5"/>
      <c r="S33" s="5"/>
    </row>
    <row r="34" spans="1:19" x14ac:dyDescent="0.2">
      <c r="A34" s="3"/>
      <c r="B34" s="5"/>
      <c r="C34" s="5"/>
      <c r="D34" s="5"/>
      <c r="E34" s="5"/>
      <c r="F34" s="21"/>
      <c r="G34" s="5"/>
      <c r="H34" s="5"/>
      <c r="I34" s="5"/>
      <c r="J34" s="6"/>
      <c r="K34" s="5"/>
      <c r="L34" s="5"/>
      <c r="M34" s="5"/>
      <c r="N34" s="5"/>
      <c r="O34" s="5"/>
      <c r="P34" s="5"/>
      <c r="Q34" s="5"/>
      <c r="R34" s="5"/>
      <c r="S34" s="5"/>
    </row>
    <row r="35" spans="1:19" x14ac:dyDescent="0.2">
      <c r="A35" s="3"/>
      <c r="B35" s="5"/>
      <c r="C35" s="5"/>
      <c r="D35" s="5"/>
      <c r="E35" s="5"/>
      <c r="F35" s="21"/>
      <c r="G35" s="5"/>
      <c r="H35" s="5"/>
      <c r="I35" s="5"/>
      <c r="J35" s="6"/>
      <c r="K35" s="5"/>
      <c r="L35" s="5"/>
      <c r="M35" s="5"/>
      <c r="N35" s="5"/>
      <c r="O35" s="5"/>
      <c r="P35" s="5"/>
      <c r="Q35" s="5"/>
      <c r="R35" s="5"/>
      <c r="S35" s="5"/>
    </row>
    <row r="36" spans="1:19" x14ac:dyDescent="0.2">
      <c r="A36" s="3"/>
      <c r="B36" s="5"/>
      <c r="C36" s="5"/>
      <c r="D36" s="5"/>
      <c r="E36" s="5"/>
      <c r="F36" s="21"/>
      <c r="G36" s="5"/>
      <c r="H36" s="5"/>
      <c r="I36" s="5"/>
      <c r="J36" s="6"/>
      <c r="K36" s="5"/>
      <c r="L36" s="5"/>
      <c r="M36" s="5"/>
      <c r="N36" s="5"/>
      <c r="O36" s="5"/>
      <c r="P36" s="5"/>
      <c r="Q36" s="5"/>
      <c r="R36" s="5"/>
      <c r="S36" s="5"/>
    </row>
    <row r="37" spans="1:19" x14ac:dyDescent="0.2">
      <c r="A37" s="3"/>
      <c r="B37" s="5"/>
      <c r="C37" s="5"/>
      <c r="D37" s="5"/>
      <c r="E37" s="5"/>
      <c r="F37" s="21"/>
      <c r="G37" s="5"/>
      <c r="H37" s="5"/>
      <c r="I37" s="5"/>
      <c r="J37" s="6"/>
      <c r="K37" s="5"/>
      <c r="L37" s="5"/>
      <c r="M37" s="5"/>
      <c r="N37" s="5"/>
      <c r="O37" s="5"/>
      <c r="P37" s="5"/>
      <c r="Q37" s="5"/>
      <c r="R37" s="5"/>
      <c r="S37" s="5"/>
    </row>
    <row r="38" spans="1:19" x14ac:dyDescent="0.2">
      <c r="A38" s="3"/>
      <c r="B38" s="5"/>
      <c r="C38" s="5"/>
      <c r="D38" s="5"/>
      <c r="E38" s="5"/>
      <c r="F38" s="21"/>
      <c r="G38" s="5"/>
      <c r="H38" s="5"/>
      <c r="I38" s="5"/>
      <c r="J38" s="6"/>
      <c r="K38" s="5"/>
      <c r="L38" s="5"/>
      <c r="M38" s="5"/>
      <c r="N38" s="5"/>
      <c r="O38" s="5"/>
      <c r="P38" s="5"/>
      <c r="Q38" s="5"/>
      <c r="R38" s="5"/>
      <c r="S38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Output">
                <anchor moveWithCells="1" sizeWithCells="1">
                  <from>
                    <xdr:col>2</xdr:col>
                    <xdr:colOff>241300</xdr:colOff>
                    <xdr:row>3</xdr:row>
                    <xdr:rowOff>0</xdr:rowOff>
                  </from>
                  <to>
                    <xdr:col>4</xdr:col>
                    <xdr:colOff>292100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254000</xdr:colOff>
                    <xdr:row>0</xdr:row>
                    <xdr:rowOff>76200</xdr:rowOff>
                  </from>
                  <to>
                    <xdr:col>4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:M38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7.83203125" customWidth="1"/>
  </cols>
  <sheetData>
    <row r="1" spans="1:13" x14ac:dyDescent="0.2">
      <c r="A1" s="3" t="s">
        <v>35</v>
      </c>
      <c r="B1" s="4" t="s">
        <v>6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2">
      <c r="A2" s="3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x14ac:dyDescent="0.2">
      <c r="A3" s="3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 x14ac:dyDescent="0.2">
      <c r="A4" s="3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 x14ac:dyDescent="0.2">
      <c r="A5" s="3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 x14ac:dyDescent="0.2">
      <c r="A6" s="3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x14ac:dyDescent="0.2">
      <c r="A7" s="3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 x14ac:dyDescent="0.2">
      <c r="A8" s="3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x14ac:dyDescent="0.2">
      <c r="A9" s="3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 x14ac:dyDescent="0.2">
      <c r="A10" s="3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 x14ac:dyDescent="0.2">
      <c r="A11" s="3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 x14ac:dyDescent="0.2">
      <c r="A12" s="3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x14ac:dyDescent="0.2">
      <c r="A13" s="3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 x14ac:dyDescent="0.2">
      <c r="A14" s="3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 x14ac:dyDescent="0.2">
      <c r="A15" s="3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x14ac:dyDescent="0.2">
      <c r="A16" s="3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x14ac:dyDescent="0.2">
      <c r="A17" s="3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1:13" x14ac:dyDescent="0.2">
      <c r="A18" s="3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2">
      <c r="A19" s="3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x14ac:dyDescent="0.2">
      <c r="A20" s="3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x14ac:dyDescent="0.2">
      <c r="A21" s="3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 x14ac:dyDescent="0.2">
      <c r="A22" s="3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 x14ac:dyDescent="0.2">
      <c r="A23" s="3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13" x14ac:dyDescent="0.2">
      <c r="A24" s="3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 x14ac:dyDescent="0.2">
      <c r="A25" s="3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1:13" x14ac:dyDescent="0.2">
      <c r="A26" s="3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</row>
    <row r="27" spans="1:13" x14ac:dyDescent="0.2">
      <c r="A27" s="3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3" x14ac:dyDescent="0.2">
      <c r="A28" s="3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3" x14ac:dyDescent="0.2">
      <c r="A29" s="3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x14ac:dyDescent="0.2">
      <c r="A30" s="3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1:13" x14ac:dyDescent="0.2">
      <c r="A31" s="3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</row>
    <row r="32" spans="1:13" x14ac:dyDescent="0.2">
      <c r="A32" s="3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1:13" x14ac:dyDescent="0.2">
      <c r="A33" s="3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13" x14ac:dyDescent="0.2">
      <c r="A34" s="3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</row>
    <row r="35" spans="1:13" x14ac:dyDescent="0.2">
      <c r="A35" s="3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</row>
    <row r="36" spans="1:13" x14ac:dyDescent="0.2">
      <c r="A36" s="3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 x14ac:dyDescent="0.2">
      <c r="A37" s="3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 x14ac:dyDescent="0.2">
      <c r="A38" s="3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Advice">
                <anchor moveWithCells="1" sizeWithCells="1">
                  <from>
                    <xdr:col>5</xdr:col>
                    <xdr:colOff>38100</xdr:colOff>
                    <xdr:row>4</xdr:row>
                    <xdr:rowOff>0</xdr:rowOff>
                  </from>
                  <to>
                    <xdr:col>7</xdr:col>
                    <xdr:colOff>546100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3976-8EED-4282-91E1-590029DD2B0D}">
  <sheetPr codeName="Sheet8"/>
  <dimension ref="A1:L26"/>
  <sheetViews>
    <sheetView tabSelected="1" workbookViewId="0">
      <selection activeCell="B13" sqref="B13"/>
    </sheetView>
  </sheetViews>
  <sheetFormatPr baseColWidth="10" defaultColWidth="8.83203125" defaultRowHeight="15" x14ac:dyDescent="0.2"/>
  <cols>
    <col min="1" max="1" width="12.6640625" bestFit="1" customWidth="1"/>
    <col min="2" max="2" width="37.33203125" bestFit="1" customWidth="1"/>
    <col min="3" max="3" width="17" bestFit="1" customWidth="1"/>
    <col min="4" max="4" width="9.83203125" bestFit="1" customWidth="1"/>
    <col min="5" max="5" width="11.83203125" bestFit="1" customWidth="1"/>
    <col min="6" max="6" width="13.5" bestFit="1" customWidth="1"/>
    <col min="7" max="7" width="36.1640625" bestFit="1" customWidth="1"/>
    <col min="8" max="8" width="27" bestFit="1" customWidth="1"/>
    <col min="9" max="9" width="34.5" bestFit="1" customWidth="1"/>
    <col min="10" max="10" width="19.33203125" bestFit="1" customWidth="1"/>
    <col min="11" max="11" width="17" bestFit="1" customWidth="1"/>
    <col min="12" max="12" width="11.6640625" bestFit="1" customWidth="1"/>
  </cols>
  <sheetData>
    <row r="1" spans="1:12" x14ac:dyDescent="0.2">
      <c r="A1" t="s">
        <v>38</v>
      </c>
      <c r="B1" t="s">
        <v>36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</row>
    <row r="2" spans="1:12" x14ac:dyDescent="0.2">
      <c r="A2" t="s">
        <v>49</v>
      </c>
      <c r="B2" t="s">
        <v>50</v>
      </c>
      <c r="C2">
        <v>133860.88</v>
      </c>
      <c r="D2">
        <v>-1152.8</v>
      </c>
      <c r="E2">
        <v>-8.5000000000000006E-3</v>
      </c>
      <c r="F2" t="s">
        <v>148</v>
      </c>
      <c r="G2" t="s">
        <v>149</v>
      </c>
      <c r="H2" t="s">
        <v>149</v>
      </c>
      <c r="I2" t="s">
        <v>149</v>
      </c>
      <c r="J2" t="s">
        <v>136</v>
      </c>
      <c r="K2" t="s">
        <v>37</v>
      </c>
      <c r="L2" t="s">
        <v>37</v>
      </c>
    </row>
    <row r="3" spans="1:12" x14ac:dyDescent="0.2">
      <c r="A3" t="s">
        <v>51</v>
      </c>
      <c r="B3" t="s">
        <v>52</v>
      </c>
      <c r="C3">
        <v>4993.08</v>
      </c>
      <c r="D3">
        <v>-105.59</v>
      </c>
      <c r="E3">
        <v>-2.07E-2</v>
      </c>
      <c r="F3" t="s">
        <v>150</v>
      </c>
      <c r="G3" t="s">
        <v>151</v>
      </c>
      <c r="H3" t="s">
        <v>151</v>
      </c>
      <c r="I3" t="s">
        <v>151</v>
      </c>
      <c r="J3" t="s">
        <v>137</v>
      </c>
      <c r="K3" t="s">
        <v>37</v>
      </c>
      <c r="L3" t="s">
        <v>37</v>
      </c>
    </row>
    <row r="4" spans="1:12" x14ac:dyDescent="0.2">
      <c r="A4" t="s">
        <v>53</v>
      </c>
      <c r="B4" t="s">
        <v>54</v>
      </c>
      <c r="C4">
        <v>1.4006000000000001</v>
      </c>
      <c r="D4">
        <v>-1.1000000000000001E-3</v>
      </c>
      <c r="E4">
        <v>-8.0000000000000004E-4</v>
      </c>
      <c r="F4" t="s">
        <v>152</v>
      </c>
      <c r="G4" t="s">
        <v>153</v>
      </c>
      <c r="H4" t="s">
        <v>153</v>
      </c>
      <c r="I4" t="s">
        <v>153</v>
      </c>
      <c r="J4" t="s">
        <v>132</v>
      </c>
      <c r="K4" t="s">
        <v>37</v>
      </c>
      <c r="L4" t="s">
        <v>37</v>
      </c>
    </row>
    <row r="5" spans="1:12" x14ac:dyDescent="0.2">
      <c r="A5" t="s">
        <v>55</v>
      </c>
      <c r="B5" t="s">
        <v>56</v>
      </c>
      <c r="C5">
        <v>332.92</v>
      </c>
      <c r="D5">
        <v>-9.23</v>
      </c>
      <c r="E5">
        <v>-2.7E-2</v>
      </c>
      <c r="F5" t="s">
        <v>154</v>
      </c>
      <c r="G5" t="s">
        <v>155</v>
      </c>
      <c r="H5" t="s">
        <v>155</v>
      </c>
      <c r="I5" t="s">
        <v>155</v>
      </c>
      <c r="J5" t="s">
        <v>156</v>
      </c>
      <c r="K5" t="s">
        <v>37</v>
      </c>
      <c r="L5" t="s">
        <v>37</v>
      </c>
    </row>
    <row r="6" spans="1:12" x14ac:dyDescent="0.2">
      <c r="A6" t="s">
        <v>57</v>
      </c>
      <c r="B6" t="s">
        <v>58</v>
      </c>
      <c r="C6">
        <v>916.63</v>
      </c>
      <c r="D6">
        <v>3</v>
      </c>
      <c r="E6">
        <v>3.3E-3</v>
      </c>
      <c r="F6" t="s">
        <v>157</v>
      </c>
      <c r="G6" t="s">
        <v>158</v>
      </c>
      <c r="H6" t="s">
        <v>158</v>
      </c>
      <c r="I6" t="s">
        <v>158</v>
      </c>
      <c r="J6" t="s">
        <v>59</v>
      </c>
      <c r="K6" t="s">
        <v>37</v>
      </c>
      <c r="L6" t="s">
        <v>37</v>
      </c>
    </row>
    <row r="7" spans="1:12" x14ac:dyDescent="0.2">
      <c r="A7" t="s">
        <v>60</v>
      </c>
      <c r="B7" t="s">
        <v>61</v>
      </c>
      <c r="C7">
        <v>2.1419000000000001</v>
      </c>
      <c r="D7">
        <v>8.6199999999999999E-2</v>
      </c>
      <c r="E7">
        <v>4.19E-2</v>
      </c>
      <c r="F7" t="s">
        <v>159</v>
      </c>
      <c r="G7" t="s">
        <v>160</v>
      </c>
      <c r="H7" t="s">
        <v>160</v>
      </c>
      <c r="I7" t="s">
        <v>160</v>
      </c>
      <c r="J7" t="s">
        <v>138</v>
      </c>
      <c r="K7" t="s">
        <v>37</v>
      </c>
      <c r="L7" t="s">
        <v>37</v>
      </c>
    </row>
    <row r="8" spans="1:12" x14ac:dyDescent="0.2">
      <c r="A8" t="s">
        <v>62</v>
      </c>
      <c r="B8" t="s">
        <v>63</v>
      </c>
      <c r="C8">
        <v>0.56204799999999999</v>
      </c>
      <c r="D8">
        <v>-5.1209999999999997E-3</v>
      </c>
      <c r="E8">
        <v>-8.9999999999999993E-3</v>
      </c>
      <c r="F8" t="s">
        <v>161</v>
      </c>
      <c r="G8" t="s">
        <v>162</v>
      </c>
      <c r="H8" t="s">
        <v>162</v>
      </c>
      <c r="I8" t="s">
        <v>162</v>
      </c>
      <c r="J8" t="s">
        <v>163</v>
      </c>
      <c r="K8" t="s">
        <v>37</v>
      </c>
      <c r="L8" t="s">
        <v>37</v>
      </c>
    </row>
    <row r="9" spans="1:12" x14ac:dyDescent="0.2">
      <c r="A9" t="s">
        <v>64</v>
      </c>
      <c r="B9" t="s">
        <v>65</v>
      </c>
      <c r="C9">
        <v>1.4000999999999999</v>
      </c>
      <c r="D9">
        <v>1E-4</v>
      </c>
      <c r="E9">
        <v>1E-4</v>
      </c>
      <c r="F9" t="s">
        <v>164</v>
      </c>
      <c r="G9" t="s">
        <v>165</v>
      </c>
      <c r="H9" t="s">
        <v>165</v>
      </c>
      <c r="I9" t="s">
        <v>165</v>
      </c>
      <c r="J9" t="s">
        <v>166</v>
      </c>
      <c r="K9" t="s">
        <v>37</v>
      </c>
      <c r="L9" t="s">
        <v>37</v>
      </c>
    </row>
    <row r="10" spans="1:12" x14ac:dyDescent="0.2">
      <c r="A10" t="s">
        <v>66</v>
      </c>
      <c r="B10" t="s">
        <v>67</v>
      </c>
      <c r="C10">
        <v>1.4599</v>
      </c>
      <c r="D10">
        <v>3.9100000000000003E-2</v>
      </c>
      <c r="E10">
        <v>2.75E-2</v>
      </c>
      <c r="F10" t="s">
        <v>167</v>
      </c>
      <c r="G10" t="s">
        <v>168</v>
      </c>
      <c r="H10" t="s">
        <v>168</v>
      </c>
      <c r="I10" t="s">
        <v>168</v>
      </c>
      <c r="J10" t="s">
        <v>68</v>
      </c>
      <c r="K10" t="s">
        <v>37</v>
      </c>
      <c r="L10" t="s">
        <v>37</v>
      </c>
    </row>
    <row r="11" spans="1:12" x14ac:dyDescent="0.2">
      <c r="A11" t="s">
        <v>69</v>
      </c>
      <c r="B11" t="s">
        <v>70</v>
      </c>
      <c r="C11">
        <v>60.36</v>
      </c>
      <c r="D11">
        <v>-0.77</v>
      </c>
      <c r="E11">
        <v>-1.2699999999999999E-2</v>
      </c>
      <c r="F11" t="s">
        <v>169</v>
      </c>
      <c r="G11" t="s">
        <v>170</v>
      </c>
      <c r="H11" t="s">
        <v>170</v>
      </c>
      <c r="I11" t="s">
        <v>170</v>
      </c>
      <c r="J11" t="s">
        <v>139</v>
      </c>
      <c r="K11" t="s">
        <v>37</v>
      </c>
      <c r="L11" t="s">
        <v>37</v>
      </c>
    </row>
    <row r="12" spans="1:12" x14ac:dyDescent="0.2">
      <c r="A12" t="s">
        <v>71</v>
      </c>
      <c r="B12" t="s">
        <v>72</v>
      </c>
      <c r="C12">
        <v>0.28365899999999999</v>
      </c>
      <c r="D12">
        <v>9.859999999999999E-4</v>
      </c>
      <c r="E12">
        <v>3.5000000000000001E-3</v>
      </c>
      <c r="F12" t="s">
        <v>171</v>
      </c>
      <c r="G12" t="s">
        <v>172</v>
      </c>
      <c r="H12" t="s">
        <v>172</v>
      </c>
      <c r="I12" t="s">
        <v>172</v>
      </c>
      <c r="J12" t="s">
        <v>140</v>
      </c>
      <c r="K12" t="s">
        <v>37</v>
      </c>
      <c r="L12" t="s">
        <v>37</v>
      </c>
    </row>
    <row r="13" spans="1:12" x14ac:dyDescent="0.2">
      <c r="A13" t="s">
        <v>75</v>
      </c>
      <c r="B13" t="s">
        <v>76</v>
      </c>
      <c r="C13">
        <v>3.6000000000000001E-5</v>
      </c>
      <c r="D13">
        <v>-9.9999999999999995E-7</v>
      </c>
      <c r="E13">
        <v>-2.24E-2</v>
      </c>
      <c r="F13" t="s">
        <v>173</v>
      </c>
      <c r="G13" t="s">
        <v>174</v>
      </c>
      <c r="H13" t="s">
        <v>174</v>
      </c>
      <c r="I13" t="s">
        <v>174</v>
      </c>
      <c r="J13" t="s">
        <v>77</v>
      </c>
      <c r="K13" t="s">
        <v>37</v>
      </c>
      <c r="L13" t="s">
        <v>37</v>
      </c>
    </row>
    <row r="14" spans="1:12" x14ac:dyDescent="0.2">
      <c r="A14" t="s">
        <v>73</v>
      </c>
      <c r="B14" t="s">
        <v>74</v>
      </c>
      <c r="C14">
        <v>0.68560900000000002</v>
      </c>
      <c r="D14">
        <v>1.3044E-2</v>
      </c>
      <c r="E14">
        <v>1.9400000000000001E-2</v>
      </c>
      <c r="F14" t="s">
        <v>175</v>
      </c>
      <c r="G14" t="s">
        <v>176</v>
      </c>
      <c r="H14" t="s">
        <v>176</v>
      </c>
      <c r="I14" t="s">
        <v>176</v>
      </c>
      <c r="J14" t="s">
        <v>133</v>
      </c>
      <c r="K14" t="s">
        <v>37</v>
      </c>
      <c r="L14" t="s">
        <v>37</v>
      </c>
    </row>
    <row r="15" spans="1:12" x14ac:dyDescent="0.2">
      <c r="A15" t="s">
        <v>78</v>
      </c>
      <c r="B15" t="s">
        <v>79</v>
      </c>
      <c r="C15">
        <v>12.1</v>
      </c>
      <c r="D15">
        <v>0.33</v>
      </c>
      <c r="E15">
        <v>2.76E-2</v>
      </c>
      <c r="F15" t="s">
        <v>177</v>
      </c>
      <c r="G15" t="s">
        <v>178</v>
      </c>
      <c r="H15" t="s">
        <v>178</v>
      </c>
      <c r="I15" t="s">
        <v>178</v>
      </c>
      <c r="J15" t="s">
        <v>141</v>
      </c>
      <c r="K15" t="s">
        <v>37</v>
      </c>
      <c r="L15" t="s">
        <v>37</v>
      </c>
    </row>
    <row r="16" spans="1:12" x14ac:dyDescent="0.2">
      <c r="A16" t="s">
        <v>80</v>
      </c>
      <c r="B16" t="s">
        <v>81</v>
      </c>
      <c r="C16">
        <v>25.07</v>
      </c>
      <c r="D16">
        <v>-0.73</v>
      </c>
      <c r="E16">
        <v>-2.8500000000000001E-2</v>
      </c>
      <c r="F16" t="s">
        <v>179</v>
      </c>
      <c r="G16" t="s">
        <v>180</v>
      </c>
      <c r="H16" t="s">
        <v>180</v>
      </c>
      <c r="I16" t="s">
        <v>180</v>
      </c>
      <c r="J16" t="s">
        <v>82</v>
      </c>
      <c r="K16" t="s">
        <v>37</v>
      </c>
      <c r="L16" t="s">
        <v>37</v>
      </c>
    </row>
    <row r="17" spans="1:12" x14ac:dyDescent="0.2">
      <c r="A17" t="s">
        <v>83</v>
      </c>
      <c r="B17" t="s">
        <v>84</v>
      </c>
      <c r="C17">
        <v>713.07</v>
      </c>
      <c r="D17">
        <v>-12.17</v>
      </c>
      <c r="E17">
        <v>-1.6799999999999999E-2</v>
      </c>
      <c r="F17" t="s">
        <v>181</v>
      </c>
      <c r="G17" t="s">
        <v>182</v>
      </c>
      <c r="H17" t="s">
        <v>182</v>
      </c>
      <c r="I17" t="s">
        <v>182</v>
      </c>
      <c r="J17" t="s">
        <v>142</v>
      </c>
      <c r="K17" t="s">
        <v>37</v>
      </c>
      <c r="L17" t="s">
        <v>37</v>
      </c>
    </row>
    <row r="18" spans="1:12" x14ac:dyDescent="0.2">
      <c r="A18" t="s">
        <v>85</v>
      </c>
      <c r="B18" t="s">
        <v>86</v>
      </c>
      <c r="C18">
        <v>17.86</v>
      </c>
      <c r="D18">
        <v>-0.52</v>
      </c>
      <c r="E18">
        <v>-2.8299999999999999E-2</v>
      </c>
      <c r="F18" t="s">
        <v>183</v>
      </c>
      <c r="G18" t="s">
        <v>184</v>
      </c>
      <c r="H18" t="s">
        <v>184</v>
      </c>
      <c r="I18" t="s">
        <v>184</v>
      </c>
      <c r="J18" t="s">
        <v>87</v>
      </c>
      <c r="K18" t="s">
        <v>37</v>
      </c>
      <c r="L18" t="s">
        <v>37</v>
      </c>
    </row>
    <row r="19" spans="1:12" x14ac:dyDescent="0.2">
      <c r="A19" t="s">
        <v>88</v>
      </c>
      <c r="B19" t="s">
        <v>89</v>
      </c>
      <c r="C19">
        <v>134.24</v>
      </c>
      <c r="D19">
        <v>-2.69</v>
      </c>
      <c r="E19">
        <v>-1.9699999999999999E-2</v>
      </c>
      <c r="F19" t="s">
        <v>185</v>
      </c>
      <c r="G19" t="s">
        <v>186</v>
      </c>
      <c r="H19" t="s">
        <v>186</v>
      </c>
      <c r="I19" t="s">
        <v>186</v>
      </c>
      <c r="J19" t="s">
        <v>144</v>
      </c>
      <c r="K19" t="s">
        <v>37</v>
      </c>
      <c r="L19" t="s">
        <v>37</v>
      </c>
    </row>
    <row r="20" spans="1:12" x14ac:dyDescent="0.2">
      <c r="A20" t="s">
        <v>90</v>
      </c>
      <c r="B20" t="s">
        <v>91</v>
      </c>
      <c r="C20">
        <v>0.205231</v>
      </c>
      <c r="D20">
        <v>8.5389999999999997E-3</v>
      </c>
      <c r="E20">
        <v>4.3400000000000001E-2</v>
      </c>
      <c r="F20" t="s">
        <v>187</v>
      </c>
      <c r="G20" t="s">
        <v>188</v>
      </c>
      <c r="H20" t="s">
        <v>188</v>
      </c>
      <c r="I20" t="s">
        <v>188</v>
      </c>
      <c r="J20" t="s">
        <v>92</v>
      </c>
      <c r="K20" t="s">
        <v>37</v>
      </c>
      <c r="L20" t="s">
        <v>37</v>
      </c>
    </row>
    <row r="21" spans="1:12" x14ac:dyDescent="0.2">
      <c r="A21" t="s">
        <v>93</v>
      </c>
      <c r="B21" t="s">
        <v>94</v>
      </c>
      <c r="C21">
        <v>16.2</v>
      </c>
      <c r="D21">
        <v>-0.12</v>
      </c>
      <c r="E21">
        <v>-7.4000000000000003E-3</v>
      </c>
      <c r="F21" t="s">
        <v>145</v>
      </c>
      <c r="G21" t="s">
        <v>189</v>
      </c>
      <c r="H21" t="s">
        <v>189</v>
      </c>
      <c r="I21" t="s">
        <v>189</v>
      </c>
      <c r="J21" t="s">
        <v>143</v>
      </c>
      <c r="K21" t="s">
        <v>37</v>
      </c>
      <c r="L21" t="s">
        <v>37</v>
      </c>
    </row>
    <row r="22" spans="1:12" x14ac:dyDescent="0.2">
      <c r="A22" t="s">
        <v>95</v>
      </c>
      <c r="B22" t="s">
        <v>96</v>
      </c>
      <c r="C22">
        <v>1.4000999999999999</v>
      </c>
      <c r="D22">
        <v>0</v>
      </c>
      <c r="E22">
        <v>0</v>
      </c>
      <c r="F22" t="s">
        <v>190</v>
      </c>
      <c r="G22" t="s">
        <v>191</v>
      </c>
      <c r="H22" t="s">
        <v>191</v>
      </c>
      <c r="I22" t="s">
        <v>191</v>
      </c>
      <c r="J22" t="s">
        <v>97</v>
      </c>
      <c r="K22" t="s">
        <v>37</v>
      </c>
      <c r="L22" t="s">
        <v>37</v>
      </c>
    </row>
    <row r="23" spans="1:12" x14ac:dyDescent="0.2">
      <c r="A23" t="s">
        <v>101</v>
      </c>
      <c r="B23" t="s">
        <v>102</v>
      </c>
      <c r="C23">
        <v>44.27</v>
      </c>
      <c r="D23">
        <v>-0.86</v>
      </c>
      <c r="E23">
        <v>-1.9E-2</v>
      </c>
      <c r="F23" t="s">
        <v>192</v>
      </c>
      <c r="G23" t="s">
        <v>193</v>
      </c>
      <c r="H23" t="s">
        <v>193</v>
      </c>
      <c r="I23" t="s">
        <v>193</v>
      </c>
      <c r="J23" t="s">
        <v>146</v>
      </c>
      <c r="K23" t="s">
        <v>37</v>
      </c>
      <c r="L23" t="s">
        <v>37</v>
      </c>
    </row>
    <row r="24" spans="1:12" x14ac:dyDescent="0.2">
      <c r="A24" t="s">
        <v>98</v>
      </c>
      <c r="B24" t="s">
        <v>99</v>
      </c>
      <c r="C24">
        <v>0.248446</v>
      </c>
      <c r="D24">
        <v>-1.691E-3</v>
      </c>
      <c r="E24">
        <v>-6.7999999999999996E-3</v>
      </c>
      <c r="F24" t="s">
        <v>194</v>
      </c>
      <c r="G24" t="s">
        <v>195</v>
      </c>
      <c r="H24" t="s">
        <v>195</v>
      </c>
      <c r="I24" t="s">
        <v>195</v>
      </c>
      <c r="J24" t="s">
        <v>100</v>
      </c>
      <c r="K24" t="s">
        <v>37</v>
      </c>
      <c r="L24" t="s">
        <v>37</v>
      </c>
    </row>
    <row r="25" spans="1:12" x14ac:dyDescent="0.2">
      <c r="A25" t="s">
        <v>103</v>
      </c>
      <c r="B25" t="s">
        <v>104</v>
      </c>
      <c r="C25">
        <v>2.2717000000000001</v>
      </c>
      <c r="D25">
        <v>0.17080000000000001</v>
      </c>
      <c r="E25">
        <v>8.1299999999999997E-2</v>
      </c>
      <c r="F25" t="s">
        <v>196</v>
      </c>
      <c r="G25" t="s">
        <v>197</v>
      </c>
      <c r="H25" t="s">
        <v>197</v>
      </c>
      <c r="I25" t="s">
        <v>197</v>
      </c>
      <c r="J25" t="s">
        <v>105</v>
      </c>
      <c r="K25" t="s">
        <v>37</v>
      </c>
      <c r="L25" t="s">
        <v>37</v>
      </c>
    </row>
    <row r="26" spans="1:12" x14ac:dyDescent="0.2">
      <c r="A26" t="s">
        <v>134</v>
      </c>
      <c r="B26" t="s">
        <v>135</v>
      </c>
      <c r="C26">
        <v>8.0914999999999999</v>
      </c>
      <c r="D26">
        <v>-3.5000000000000003E-2</v>
      </c>
      <c r="E26">
        <v>-4.3E-3</v>
      </c>
      <c r="F26" t="s">
        <v>198</v>
      </c>
      <c r="G26" t="s">
        <v>199</v>
      </c>
      <c r="H26" t="s">
        <v>199</v>
      </c>
      <c r="I26" t="s">
        <v>199</v>
      </c>
      <c r="J26" t="s">
        <v>200</v>
      </c>
      <c r="K26" t="s">
        <v>37</v>
      </c>
      <c r="L26" t="s">
        <v>37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EFF735-D625-4A91-91D3-D8AC1CA2884C}">
  <ds:schemaRefs>
    <ds:schemaRef ds:uri="http://purl.org/dc/terms/"/>
    <ds:schemaRef ds:uri="http://schemas.openxmlformats.org/package/2006/metadata/core-properties"/>
    <ds:schemaRef ds:uri="ab55c4b2-893a-4abe-9104-5a273518009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DA0BB68-C2D8-42F6-987B-E6CCDEC42E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4D78AA6-64BF-4E2B-9D61-B77DF520A06F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Expenses&amp;Incomes</vt:lpstr>
      <vt:lpstr>Sheet1</vt:lpstr>
      <vt:lpstr>Goals</vt:lpstr>
      <vt:lpstr>Output</vt:lpstr>
      <vt:lpstr>Financial Advice</vt:lpstr>
      <vt:lpstr>Stock watchlsit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Kurtis Lin</cp:lastModifiedBy>
  <cp:revision/>
  <dcterms:created xsi:type="dcterms:W3CDTF">2021-10-13T18:04:27Z</dcterms:created>
  <dcterms:modified xsi:type="dcterms:W3CDTF">2025-01-10T18:16:31Z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